
<file path=[Content_Types].xml><?xml version="1.0" encoding="utf-8"?>
<Types xmlns="http://schemas.openxmlformats.org/package/2006/content-types">
  <Default Extension="data" ContentType="application/vnd.openxmlformats-officedocument.model+data"/>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omments1.xml" ContentType="application/vnd.openxmlformats-officedocument.spreadsheetml.comments+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slicers/slicer1.xml" ContentType="application/vnd.ms-excel.slicer+xml"/>
  <Override PartName="/xl/charts/chartEx1.xml" ContentType="application/vnd.ms-office.chartex+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comments2.xml" ContentType="application/vnd.openxmlformats-officedocument.spreadsheetml.comments+xml"/>
  <Override PartName="/xl/drawings/drawing7.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Ex2.xml" ContentType="application/vnd.ms-office.chartex+xml"/>
  <Override PartName="/xl/charts/style9.xml" ContentType="application/vnd.ms-office.chartstyle+xml"/>
  <Override PartName="/xl/charts/colors9.xml" ContentType="application/vnd.ms-office.chartcolorstyle+xml"/>
  <Override PartName="/xl/charts/chart8.xml" ContentType="application/vnd.openxmlformats-officedocument.drawingml.chart+xml"/>
  <Override PartName="/xl/charts/style10.xml" ContentType="application/vnd.ms-office.chartstyle+xml"/>
  <Override PartName="/xl/charts/colors10.xml" ContentType="application/vnd.ms-office.chartcolorstyle+xml"/>
  <Override PartName="/xl/charts/chart9.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8.xml" ContentType="application/vnd.openxmlformats-officedocument.drawing+xml"/>
  <Override PartName="/xl/tables/table6.xml" ContentType="application/vnd.openxmlformats-officedocument.spreadsheetml.table+xml"/>
  <Override PartName="/xl/slicers/slicer3.xml" ContentType="application/vnd.ms-excel.slicer+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202300"/>
  <mc:AlternateContent xmlns:mc="http://schemas.openxmlformats.org/markup-compatibility/2006">
    <mc:Choice Requires="x15">
      <x15ac:absPath xmlns:x15ac="http://schemas.microsoft.com/office/spreadsheetml/2010/11/ac" url="C:\Users\Anuvanshika Rana\Downloads\"/>
    </mc:Choice>
  </mc:AlternateContent>
  <xr:revisionPtr revIDLastSave="0" documentId="13_ncr:1_{6EED11CF-9B38-46CC-A1F2-9B949266E186}" xr6:coauthVersionLast="47" xr6:coauthVersionMax="47" xr10:uidLastSave="{00000000-0000-0000-0000-000000000000}"/>
  <bookViews>
    <workbookView xWindow="-110" yWindow="-110" windowWidth="19420" windowHeight="11500" firstSheet="7" activeTab="12" xr2:uid="{D0861BA0-BB83-4395-8C45-0DF0B5217DBE}"/>
  </bookViews>
  <sheets>
    <sheet name="Data2019" sheetId="2" r:id="rId1"/>
    <sheet name="Data2020" sheetId="6" r:id="rId2"/>
    <sheet name="Data2021" sheetId="3" r:id="rId3"/>
    <sheet name="Data2023" sheetId="4" r:id="rId4"/>
    <sheet name="2021-Present" sheetId="19" r:id="rId5"/>
    <sheet name="2020-2021" sheetId="17" r:id="rId6"/>
    <sheet name="2019" sheetId="16" r:id="rId7"/>
    <sheet name="3_year_sum" sheetId="20" r:id="rId8"/>
    <sheet name="Main_Pivot" sheetId="24" r:id="rId9"/>
    <sheet name="Region" sheetId="27" r:id="rId10"/>
    <sheet name="State_Year" sheetId="23" r:id="rId11"/>
    <sheet name="Combined_Table" sheetId="8" r:id="rId12"/>
    <sheet name="DashBoard" sheetId="5" r:id="rId13"/>
    <sheet name="Sheet10" sheetId="14" state="hidden" r:id="rId14"/>
  </sheets>
  <definedNames>
    <definedName name="_xlchart.v5.0" hidden="1">Main_Pivot!$C$3</definedName>
    <definedName name="_xlchart.v5.1" hidden="1">Main_Pivot!$C$4:$C$38</definedName>
    <definedName name="_xlchart.v5.10" hidden="1">Main_Pivot!$D$3</definedName>
    <definedName name="_xlchart.v5.11" hidden="1">Main_Pivot!$D$4:$D$38</definedName>
    <definedName name="_xlchart.v5.2" hidden="1">Main_Pivot!$D$3</definedName>
    <definedName name="_xlchart.v5.3" hidden="1">Main_Pivot!$D$4:$D$38</definedName>
    <definedName name="_xlchart.v5.4" hidden="1">Main_Pivot!$C$3</definedName>
    <definedName name="_xlchart.v5.5" hidden="1">Main_Pivot!$C$4:$C$38</definedName>
    <definedName name="_xlchart.v5.6" hidden="1">Main_Pivot!$D$3</definedName>
    <definedName name="_xlchart.v5.7" hidden="1">Main_Pivot!$D$4:$D$38</definedName>
    <definedName name="_xlchart.v5.8" hidden="1">Main_Pivot!$C$3</definedName>
    <definedName name="_xlchart.v5.9" hidden="1">Main_Pivot!$C$4:$C$38</definedName>
    <definedName name="_xlcn.WorksheetConnection_Excel_dashboard.xlsxTable51" hidden="1">Table5[]</definedName>
    <definedName name="_xlcn.WorksheetConnection_Excel_dashboardRecovered.xlsxTable41" hidden="1">Table4</definedName>
    <definedName name="_xlcn.WorksheetConnection_Excel_dashboardversion2.xlsbTable61" hidden="1">Table6</definedName>
    <definedName name="_xlcn.WorksheetConnection_SumupA1G371" hidden="1">Combined_Table!$A$1:$G$37</definedName>
    <definedName name="_xlcn.WorksheetConnection_SumupB1C361" hidden="1">Combined_Table!$B$1:$C$36</definedName>
    <definedName name="ExternalData_1" localSheetId="0" hidden="1">Data2019!$A$1:$E$37</definedName>
    <definedName name="ExternalData_1" localSheetId="2" hidden="1">Data2021!$A$1:$F$37</definedName>
    <definedName name="ExternalData_1" localSheetId="3" hidden="1">Data2023!$A$1:$D$37</definedName>
    <definedName name="ExternalData_1" localSheetId="10" hidden="1">State_Year!$A$1:$E$176</definedName>
    <definedName name="Slicer_Select_The_year">#N/A</definedName>
    <definedName name="Slicer_State_UT">#N/A</definedName>
    <definedName name="Slicer_Years1">#N/A</definedName>
  </definedNames>
  <calcPr calcId="191029"/>
  <pivotCaches>
    <pivotCache cacheId="0" r:id="rId15"/>
    <pivotCache cacheId="1" r:id="rId16"/>
    <pivotCache cacheId="5" r:id="rId17"/>
    <pivotCache cacheId="19" r:id="rId18"/>
    <pivotCache cacheId="20" r:id="rId19"/>
    <pivotCache cacheId="21" r:id="rId20"/>
  </pivotCaches>
  <extLst>
    <ext xmlns:x14="http://schemas.microsoft.com/office/spreadsheetml/2009/9/main" uri="{BBE1A952-AA13-448e-AADC-164F8A28A991}">
      <x14:slicerCaches>
        <x14:slicerCache r:id="rId21"/>
        <x14:slicerCache r:id="rId22"/>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Range 1" name="Range 1" connection="WorksheetConnection_Sumup!$B$1:$C$36"/>
          <x15:modelTable id="Range" name="Range" connection="WorksheetConnection_Sumup!$A$1:$G$37"/>
          <x15:modelTable id="Table5" name="Table5" connection="WorksheetConnection_Excel_dashboard.xlsx!Table5"/>
          <x15:modelTable id="Table6" name="Table6" connection="WorksheetConnection_Excel_dashboard (version 2).xlsb!Table6"/>
          <x15:modelTable id="Table4" name="Table4" connection="WorksheetConnection_Excel_dashboard (Recovered).xlsx!Table4"/>
        </x15:modelTables>
        <x15:modelRelationships>
          <x15:modelRelationship fromTable="Range" fromColumn="State/UT" toTable="Range 1" toColumn="State/UT"/>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 i="4" l="1"/>
  <c r="F3"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B11" i="20"/>
  <c r="B10" i="20"/>
  <c r="B9" i="20"/>
  <c r="D5" i="27"/>
  <c r="D6" i="27"/>
  <c r="D7" i="27"/>
  <c r="D8" i="27"/>
  <c r="D9" i="27"/>
  <c r="D10" i="27"/>
  <c r="D11" i="27"/>
  <c r="D12" i="27"/>
  <c r="C5" i="27"/>
  <c r="C6" i="27"/>
  <c r="C7" i="27"/>
  <c r="C8" i="27"/>
  <c r="C9" i="27"/>
  <c r="C10" i="27"/>
  <c r="C11" i="27"/>
  <c r="C12" i="27"/>
  <c r="D4" i="27"/>
  <c r="C4" i="27"/>
  <c r="D5" i="24"/>
  <c r="D6" i="24"/>
  <c r="D7" i="24"/>
  <c r="D8" i="24"/>
  <c r="D9" i="24"/>
  <c r="D10" i="24"/>
  <c r="D11" i="24"/>
  <c r="D12" i="24"/>
  <c r="D13" i="24"/>
  <c r="D14" i="24"/>
  <c r="D15" i="24"/>
  <c r="D16" i="24"/>
  <c r="D17" i="24"/>
  <c r="D18" i="24"/>
  <c r="D19" i="24"/>
  <c r="D20" i="24"/>
  <c r="D21" i="24"/>
  <c r="D22" i="24"/>
  <c r="D23" i="24"/>
  <c r="D24" i="24"/>
  <c r="D25" i="24"/>
  <c r="D26" i="24"/>
  <c r="D27" i="24"/>
  <c r="D28" i="24"/>
  <c r="D29" i="24"/>
  <c r="D30" i="24"/>
  <c r="D31" i="24"/>
  <c r="D32" i="24"/>
  <c r="D33" i="24"/>
  <c r="D34" i="24"/>
  <c r="D35" i="24"/>
  <c r="D36" i="24"/>
  <c r="D37" i="24"/>
  <c r="D38" i="24"/>
  <c r="D39" i="24"/>
  <c r="C5" i="24"/>
  <c r="C6" i="24"/>
  <c r="C7" i="24"/>
  <c r="C8" i="24"/>
  <c r="C9" i="24"/>
  <c r="C10" i="24"/>
  <c r="C11" i="24"/>
  <c r="C12" i="24"/>
  <c r="C13" i="24"/>
  <c r="C14" i="24"/>
  <c r="C15" i="24"/>
  <c r="C16" i="24"/>
  <c r="C17" i="24"/>
  <c r="C18" i="24"/>
  <c r="C19" i="24"/>
  <c r="C20" i="24"/>
  <c r="C21" i="24"/>
  <c r="C22" i="24"/>
  <c r="C23" i="24"/>
  <c r="C24" i="24"/>
  <c r="C25" i="24"/>
  <c r="C26" i="24"/>
  <c r="C27" i="24"/>
  <c r="C28" i="24"/>
  <c r="C29" i="24"/>
  <c r="C30" i="24"/>
  <c r="C31" i="24"/>
  <c r="C32" i="24"/>
  <c r="C33" i="24"/>
  <c r="C34" i="24"/>
  <c r="C35" i="24"/>
  <c r="C36" i="24"/>
  <c r="C37" i="24"/>
  <c r="C38" i="24"/>
  <c r="C39" i="24"/>
  <c r="D4" i="24"/>
  <c r="C4" i="24"/>
  <c r="F36" i="8"/>
  <c r="D36" i="8"/>
  <c r="F35" i="8"/>
  <c r="D35" i="8"/>
  <c r="F34" i="8"/>
  <c r="D34" i="8"/>
  <c r="F33" i="8"/>
  <c r="D33" i="8"/>
  <c r="F32" i="8"/>
  <c r="D32" i="8"/>
  <c r="F31" i="8"/>
  <c r="D31" i="8"/>
  <c r="F30" i="8"/>
  <c r="D30" i="8"/>
  <c r="F29" i="8"/>
  <c r="D29" i="8"/>
  <c r="F28" i="8"/>
  <c r="D28" i="8"/>
  <c r="F27" i="8"/>
  <c r="D27" i="8"/>
  <c r="F26" i="8"/>
  <c r="D26" i="8"/>
  <c r="F25" i="8"/>
  <c r="D25" i="8"/>
  <c r="F24" i="8"/>
  <c r="D24" i="8"/>
  <c r="F23" i="8"/>
  <c r="D23" i="8"/>
  <c r="F22" i="8"/>
  <c r="D22" i="8"/>
  <c r="F21" i="8"/>
  <c r="D21" i="8"/>
  <c r="F20" i="8"/>
  <c r="D20" i="8"/>
  <c r="F19" i="8"/>
  <c r="D19" i="8"/>
  <c r="F18" i="8"/>
  <c r="D18" i="8"/>
  <c r="F17" i="8"/>
  <c r="D17" i="8"/>
  <c r="F16" i="8"/>
  <c r="D16" i="8"/>
  <c r="F15" i="8"/>
  <c r="D15" i="8"/>
  <c r="F14" i="8"/>
  <c r="D14" i="8"/>
  <c r="F13" i="8"/>
  <c r="D13" i="8"/>
  <c r="F12" i="8"/>
  <c r="D12" i="8"/>
  <c r="F11" i="8"/>
  <c r="D11" i="8"/>
  <c r="F10" i="8"/>
  <c r="D10" i="8"/>
  <c r="F9" i="8"/>
  <c r="D9" i="8"/>
  <c r="F8" i="8"/>
  <c r="D8" i="8"/>
  <c r="F7" i="8"/>
  <c r="D7" i="8"/>
  <c r="F6" i="8"/>
  <c r="D6" i="8"/>
  <c r="F5" i="8"/>
  <c r="D5" i="8"/>
  <c r="F4" i="8"/>
  <c r="D4" i="8"/>
  <c r="F3" i="8"/>
  <c r="D3" i="8"/>
  <c r="F2" i="8"/>
  <c r="D2" i="8"/>
  <c r="E37" i="6"/>
  <c r="E36" i="6"/>
  <c r="E35" i="6"/>
  <c r="E34" i="6"/>
  <c r="E33" i="6"/>
  <c r="E32" i="6"/>
  <c r="E31" i="6"/>
  <c r="E30" i="6"/>
  <c r="E29" i="6"/>
  <c r="E28" i="6"/>
  <c r="E27" i="6"/>
  <c r="E26" i="6"/>
  <c r="E25" i="6"/>
  <c r="E24" i="6"/>
  <c r="E23" i="6"/>
  <c r="E22" i="6"/>
  <c r="E21" i="6"/>
  <c r="E20" i="6"/>
  <c r="E19" i="6"/>
  <c r="E18" i="6"/>
  <c r="E17" i="6"/>
  <c r="E16" i="6"/>
  <c r="E15" i="6"/>
  <c r="E14" i="6"/>
  <c r="E13" i="6"/>
  <c r="E12" i="6"/>
  <c r="E11" i="6"/>
  <c r="E10" i="6"/>
  <c r="E9" i="6"/>
  <c r="E8" i="6"/>
  <c r="E7" i="6"/>
  <c r="E6" i="6"/>
  <c r="E5" i="6"/>
  <c r="E4" i="6"/>
  <c r="E3" i="6"/>
  <c r="E2"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Anuvanshika Rana</author>
  </authors>
  <commentList>
    <comment ref="D19" authorId="0" shapeId="0" xr:uid="{F9F7A48C-D20F-4EB4-982F-2947FCA68892}">
      <text>
        <r>
          <rPr>
            <b/>
            <sz val="9"/>
            <color indexed="81"/>
            <rFont val="Tahoma"/>
            <charset val="1"/>
          </rPr>
          <t>Anuvanshika Rana:</t>
        </r>
        <r>
          <rPr>
            <sz val="9"/>
            <color indexed="81"/>
            <rFont val="Tahoma"/>
            <charset val="1"/>
          </rPr>
          <t xml:space="preserve">
In 2019, Ladakh details were calculated under J&amp;K only, Ladakh became separate Territory After January 2020</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Anuvanshika Rana</author>
  </authors>
  <commentList>
    <comment ref="C19" authorId="0" shapeId="0" xr:uid="{994DDDCD-F8C5-4801-9425-60114998D2EF}">
      <text>
        <r>
          <rPr>
            <b/>
            <sz val="9"/>
            <color indexed="81"/>
            <rFont val="Tahoma"/>
            <charset val="1"/>
          </rPr>
          <t>Anuvanshika Rana:</t>
        </r>
        <r>
          <rPr>
            <sz val="9"/>
            <color indexed="81"/>
            <rFont val="Tahoma"/>
            <charset val="1"/>
          </rPr>
          <t xml:space="preserve">
In 2019, Ladakh details were calculated under J&amp;K only, Ladakh became separate Territory After January 2020</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8F7E5A9-8CD0-42EC-9E70-C9565C0E2DF6}" keepAlive="1" name="Query - Data2019" description="Connection to the 'Data2019' query in the workbook." type="5" refreshedVersion="8" background="1" saveData="1">
    <dbPr connection="Provider=Microsoft.Mashup.OleDb.1;Data Source=$Workbook$;Location=Data2019;Extended Properties=&quot;&quot;" command="SELECT * FROM [Data2019]"/>
  </connection>
  <connection id="2" xr16:uid="{DD8A89CC-EB41-40E1-BEB4-89A205D695D9}" keepAlive="1" name="Query - Data2021" description="Connection to the 'Data2021' query in the workbook." type="5" refreshedVersion="8" background="1" saveData="1">
    <dbPr connection="Provider=Microsoft.Mashup.OleDb.1;Data Source=$Workbook$;Location=Data2021;Extended Properties=&quot;&quot;" command="SELECT * FROM [Data2021]"/>
  </connection>
  <connection id="3" xr16:uid="{8732D781-273E-4695-B2FD-E558430BEC31}" keepAlive="1" name="Query - Data2023" description="Connection to the 'Data2023' query in the workbook." type="5" refreshedVersion="8" background="1" saveData="1">
    <dbPr connection="Provider=Microsoft.Mashup.OleDb.1;Data Source=$Workbook$;Location=Data2023;Extended Properties=&quot;&quot;" command="SELECT * FROM [Data2023]"/>
  </connection>
  <connection id="4" xr16:uid="{B86A680B-776C-464A-A9BB-1A55F5C5A7AD}" keepAlive="1" name="Query - Table7" description="Connection to the 'Table7' query in the workbook." type="5" refreshedVersion="8" background="1" saveData="1">
    <dbPr connection="Provider=Microsoft.Mashup.OleDb.1;Data Source=$Workbook$;Location=Table7;Extended Properties=&quot;&quot;" command="SELECT * FROM [Table7]"/>
  </connection>
  <connection id="5" xr16:uid="{1AF34AAE-0BC6-436A-8248-E4A7BECDF777}" keepAlive="1" name="Query - Table7 (2)" description="Connection to the 'Table7 (2)' query in the workbook." type="5" refreshedVersion="8" background="1" saveData="1">
    <dbPr connection="Provider=Microsoft.Mashup.OleDb.1;Data Source=$Workbook$;Location=&quot;Table7 (2)&quot;;Extended Properties=&quot;&quot;" command="SELECT * FROM [Table7 (2)]"/>
  </connection>
  <connection id="6" xr16:uid="{E9E928DB-051F-4C16-A5F8-7A7C4CA14824}"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7" xr16:uid="{2E095AA2-8656-4733-8000-9D72EE24178A}" name="WorksheetConnection_Excel_dashboard (Recovered).xlsx!Table4" type="102" refreshedVersion="8" minRefreshableVersion="5">
    <extLst>
      <ext xmlns:x15="http://schemas.microsoft.com/office/spreadsheetml/2010/11/main" uri="{DE250136-89BD-433C-8126-D09CA5730AF9}">
        <x15:connection id="Table4" autoDelete="1">
          <x15:rangePr sourceName="_xlcn.WorksheetConnection_Excel_dashboardRecovered.xlsxTable41"/>
        </x15:connection>
      </ext>
    </extLst>
  </connection>
  <connection id="8" xr16:uid="{0044CB1B-5453-401C-9BE5-76EF9D436EF3}" name="WorksheetConnection_Excel_dashboard (version 2).xlsb!Table6" type="102" refreshedVersion="8" minRefreshableVersion="5">
    <extLst>
      <ext xmlns:x15="http://schemas.microsoft.com/office/spreadsheetml/2010/11/main" uri="{DE250136-89BD-433C-8126-D09CA5730AF9}">
        <x15:connection id="Table6" autoDelete="1">
          <x15:rangePr sourceName="_xlcn.WorksheetConnection_Excel_dashboardversion2.xlsbTable61"/>
        </x15:connection>
      </ext>
    </extLst>
  </connection>
  <connection id="9" xr16:uid="{541F735B-35B5-4E2E-969F-63DB4DA851F5}" name="WorksheetConnection_Excel_dashboard.xlsx!Table5" type="102" refreshedVersion="8" minRefreshableVersion="5">
    <extLst>
      <ext xmlns:x15="http://schemas.microsoft.com/office/spreadsheetml/2010/11/main" uri="{DE250136-89BD-433C-8126-D09CA5730AF9}">
        <x15:connection id="Table5">
          <x15:rangePr sourceName="_xlcn.WorksheetConnection_Excel_dashboard.xlsxTable51"/>
        </x15:connection>
      </ext>
    </extLst>
  </connection>
  <connection id="10" xr16:uid="{B0E21614-72D8-4B09-B9F2-607A909A3E66}" name="WorksheetConnection_Sumup!$A$1:$G$37" type="102" refreshedVersion="8" minRefreshableVersion="5">
    <extLst>
      <ext xmlns:x15="http://schemas.microsoft.com/office/spreadsheetml/2010/11/main" uri="{DE250136-89BD-433C-8126-D09CA5730AF9}">
        <x15:connection id="Range" autoDelete="1">
          <x15:rangePr sourceName="_xlcn.WorksheetConnection_SumupA1G371"/>
        </x15:connection>
      </ext>
    </extLst>
  </connection>
  <connection id="11" xr16:uid="{28C1A70C-B729-4C74-AB53-80AEDFA266ED}" name="WorksheetConnection_Sumup!$B$1:$C$36" type="102" refreshedVersion="8" minRefreshableVersion="5">
    <extLst>
      <ext xmlns:x15="http://schemas.microsoft.com/office/spreadsheetml/2010/11/main" uri="{DE250136-89BD-433C-8126-D09CA5730AF9}">
        <x15:connection id="Range 1" autoDelete="1">
          <x15:rangePr sourceName="_xlcn.WorksheetConnection_SumupB1C361"/>
        </x15:connection>
      </ext>
    </extLst>
  </connection>
</connections>
</file>

<file path=xl/sharedStrings.xml><?xml version="1.0" encoding="utf-8"?>
<sst xmlns="http://schemas.openxmlformats.org/spreadsheetml/2006/main" count="1012" uniqueCount="133">
  <si>
    <t>S.No.</t>
  </si>
  <si>
    <t>State/UT</t>
  </si>
  <si>
    <t>CT/PT Constructed (Seats)</t>
  </si>
  <si>
    <t>1</t>
  </si>
  <si>
    <t>Andhra Pradesh</t>
  </si>
  <si>
    <t>2</t>
  </si>
  <si>
    <t>Andaman and Nicobar</t>
  </si>
  <si>
    <t>3</t>
  </si>
  <si>
    <t>Arunachal Pradesh</t>
  </si>
  <si>
    <t>4</t>
  </si>
  <si>
    <t>Assam</t>
  </si>
  <si>
    <t>5</t>
  </si>
  <si>
    <t>Bihar</t>
  </si>
  <si>
    <t>6</t>
  </si>
  <si>
    <t>Chandigarh</t>
  </si>
  <si>
    <t>7</t>
  </si>
  <si>
    <t>Chhattisgarh</t>
  </si>
  <si>
    <t>8</t>
  </si>
  <si>
    <t>9</t>
  </si>
  <si>
    <t>10</t>
  </si>
  <si>
    <t>Delhi</t>
  </si>
  <si>
    <t>11</t>
  </si>
  <si>
    <t>Goa</t>
  </si>
  <si>
    <t>12</t>
  </si>
  <si>
    <t>Gujarat</t>
  </si>
  <si>
    <t>13</t>
  </si>
  <si>
    <t>Haryana</t>
  </si>
  <si>
    <t>14</t>
  </si>
  <si>
    <t>Himachal Pradesh</t>
  </si>
  <si>
    <t>15</t>
  </si>
  <si>
    <t>Jammu and Kashmir</t>
  </si>
  <si>
    <t>16</t>
  </si>
  <si>
    <t>Jharkhand</t>
  </si>
  <si>
    <t>17</t>
  </si>
  <si>
    <t>Karnataka</t>
  </si>
  <si>
    <t>18</t>
  </si>
  <si>
    <t>Kerala</t>
  </si>
  <si>
    <t>19</t>
  </si>
  <si>
    <t>Madhya Pradesh</t>
  </si>
  <si>
    <t>20</t>
  </si>
  <si>
    <t>Maharashtra</t>
  </si>
  <si>
    <t>21</t>
  </si>
  <si>
    <t>Manipur</t>
  </si>
  <si>
    <t>22</t>
  </si>
  <si>
    <t>Meghalaya</t>
  </si>
  <si>
    <t>23</t>
  </si>
  <si>
    <t>Mizoram</t>
  </si>
  <si>
    <t>24</t>
  </si>
  <si>
    <t>Nagaland</t>
  </si>
  <si>
    <t>25</t>
  </si>
  <si>
    <t>Odisha</t>
  </si>
  <si>
    <t>26</t>
  </si>
  <si>
    <t>Puducherry</t>
  </si>
  <si>
    <t>27</t>
  </si>
  <si>
    <t>Punjab</t>
  </si>
  <si>
    <t>28</t>
  </si>
  <si>
    <t>Rajasthan</t>
  </si>
  <si>
    <t>29</t>
  </si>
  <si>
    <t>Sikkim</t>
  </si>
  <si>
    <t>30</t>
  </si>
  <si>
    <t>Tamil Nadu</t>
  </si>
  <si>
    <t>31</t>
  </si>
  <si>
    <t>Telangana</t>
  </si>
  <si>
    <t>32</t>
  </si>
  <si>
    <t>Tripura</t>
  </si>
  <si>
    <t>33</t>
  </si>
  <si>
    <t>Uttar Pradesh</t>
  </si>
  <si>
    <t>34</t>
  </si>
  <si>
    <t>Uttarakhand</t>
  </si>
  <si>
    <t>35</t>
  </si>
  <si>
    <t>West Bengal</t>
  </si>
  <si>
    <t>Total</t>
  </si>
  <si>
    <t>S.No</t>
  </si>
  <si>
    <t>States/ UTs</t>
  </si>
  <si>
    <t>Total No. of CT/PT Constructed till March 2021</t>
  </si>
  <si>
    <t>No. of CT/PT Constructed during April 2021 - March 2022</t>
  </si>
  <si>
    <t>Andaman and Nicobar Islands</t>
  </si>
  <si>
    <t>Dadra and Nagar Haveli and Daman and Diu</t>
  </si>
  <si>
    <t>Ladakh</t>
  </si>
  <si>
    <t>Sl. No.</t>
  </si>
  <si>
    <t>States/UT</t>
  </si>
  <si>
    <t xml:space="preserve">Total number of CT/PT constructed in 2019 </t>
  </si>
  <si>
    <t>Daman &amp; Diu and Dadra &amp; Nagra Haveli</t>
  </si>
  <si>
    <t>Total number of CT/PT constructed from 2020- March 2021</t>
  </si>
  <si>
    <t>Total CT/PT From April 2022-2023</t>
  </si>
  <si>
    <t>2021</t>
  </si>
  <si>
    <t xml:space="preserve"> Public Toilte seats (2019)</t>
  </si>
  <si>
    <t>Additional Seats (2020–Mar 2021)</t>
  </si>
  <si>
    <t>Cumulative Seats till Mar 2021</t>
  </si>
  <si>
    <t>Increase from Mar 2021 to Latest Available</t>
  </si>
  <si>
    <t>Cumulative Seats till 2023</t>
  </si>
  <si>
    <t>Row Labels</t>
  </si>
  <si>
    <t>Grand Total</t>
  </si>
  <si>
    <t>(blank)</t>
  </si>
  <si>
    <t>Sum of Cumulative Seats till Mar 2021</t>
  </si>
  <si>
    <t>Sum of Increase from Mar 2021 to Latest Available</t>
  </si>
  <si>
    <t>Sum of Cumulative Seats till 2023</t>
  </si>
  <si>
    <t>Sum of Public Toilte seats (2019)</t>
  </si>
  <si>
    <t>Select The year</t>
  </si>
  <si>
    <t>Sum of Additional Seats (2020-Mar 2021)</t>
  </si>
  <si>
    <t>Sum of  Public Toilet seats (2019)</t>
  </si>
  <si>
    <t>=IF(COUNTA(SlicerTable[Select The year])=5, "Sum of Public Toilte seats (2019)", CUBERANKEDMEMBER("ThisWorkbookDataModel", CUBESET("ThisWorkbookDataModel", SlicerTable[Select The year]), 1))</t>
  </si>
  <si>
    <t xml:space="preserve">Sum of TOP 5 </t>
  </si>
  <si>
    <t>2020-March 2021</t>
  </si>
  <si>
    <t>2021-Present</t>
  </si>
  <si>
    <t>Values</t>
  </si>
  <si>
    <t>Years</t>
  </si>
  <si>
    <t>Public Toilet Seats</t>
  </si>
  <si>
    <t>Sum of Public Toilet Seats</t>
  </si>
  <si>
    <t>(All)</t>
  </si>
  <si>
    <t>State</t>
  </si>
  <si>
    <t>Region</t>
  </si>
  <si>
    <t>South</t>
  </si>
  <si>
    <t>Others</t>
  </si>
  <si>
    <t>North-East</t>
  </si>
  <si>
    <t>East</t>
  </si>
  <si>
    <t>North</t>
  </si>
  <si>
    <t>Central</t>
  </si>
  <si>
    <t>West</t>
  </si>
  <si>
    <t>Total Seats</t>
  </si>
  <si>
    <t>Regions</t>
  </si>
  <si>
    <t>%age Increase</t>
  </si>
  <si>
    <t>Growth 2019-2021</t>
  </si>
  <si>
    <t>Growth 2021-2023</t>
  </si>
  <si>
    <t>Overall growth</t>
  </si>
  <si>
    <t>IHHL Constructed (Units)</t>
  </si>
  <si>
    <t>Funds Released (Rs. in Crores)</t>
  </si>
  <si>
    <t>Daman &amp; Diu</t>
  </si>
  <si>
    <t>Dadra &amp; Nagar Haveli</t>
  </si>
  <si>
    <t>Total No. of IHHLs Constructed till March 2021</t>
  </si>
  <si>
    <t>No. of IHHLs Constructed During April 2021 - March 2022</t>
  </si>
  <si>
    <t>Individual Household Toilets (in Nos)</t>
  </si>
  <si>
    <t>Total Community and Public Toilets (No. of Seats)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</si>
</sst>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Aptos Narrow"/>
      <family val="2"/>
      <scheme val="minor"/>
    </font>
    <font>
      <b/>
      <sz val="11"/>
      <color theme="0"/>
      <name val="Aptos Narrow"/>
      <family val="2"/>
      <scheme val="minor"/>
    </font>
    <font>
      <b/>
      <sz val="11"/>
      <color theme="1"/>
      <name val="Aptos Narrow"/>
      <family val="2"/>
      <scheme val="minor"/>
    </font>
    <font>
      <sz val="11"/>
      <color rgb="FF000000"/>
      <name val="Aptos Narrow"/>
      <family val="2"/>
      <scheme val="minor"/>
    </font>
    <font>
      <sz val="8"/>
      <name val="Aptos Narrow"/>
      <family val="2"/>
      <scheme val="minor"/>
    </font>
    <font>
      <sz val="9"/>
      <color indexed="81"/>
      <name val="Tahoma"/>
      <charset val="1"/>
    </font>
    <font>
      <b/>
      <sz val="9"/>
      <color indexed="81"/>
      <name val="Tahoma"/>
      <charset val="1"/>
    </font>
    <font>
      <sz val="11"/>
      <color theme="1"/>
      <name val="Aptos Narrow"/>
      <family val="2"/>
      <scheme val="minor"/>
    </font>
  </fonts>
  <fills count="6">
    <fill>
      <patternFill patternType="none"/>
    </fill>
    <fill>
      <patternFill patternType="gray125"/>
    </fill>
    <fill>
      <patternFill patternType="solid">
        <fgColor theme="9"/>
        <bgColor theme="9"/>
      </patternFill>
    </fill>
    <fill>
      <patternFill patternType="solid">
        <fgColor theme="9" tint="0.79998168889431442"/>
        <bgColor theme="9" tint="0.79998168889431442"/>
      </patternFill>
    </fill>
    <fill>
      <patternFill patternType="solid">
        <fgColor theme="0"/>
        <bgColor indexed="64"/>
      </patternFill>
    </fill>
    <fill>
      <patternFill patternType="solid">
        <fgColor rgb="FFDAF2D0"/>
        <bgColor rgb="FFDAF2D0"/>
      </patternFill>
    </fill>
  </fills>
  <borders count="7">
    <border>
      <left/>
      <right/>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9" tint="0.39997558519241921"/>
      </top>
      <bottom/>
      <diagonal/>
    </border>
    <border>
      <left/>
      <right style="thin">
        <color theme="9" tint="0.39997558519241921"/>
      </right>
      <top style="thin">
        <color theme="9" tint="0.39997558519241921"/>
      </top>
      <bottom/>
      <diagonal/>
    </border>
  </borders>
  <cellStyleXfs count="2">
    <xf numFmtId="0" fontId="0" fillId="0" borderId="0"/>
    <xf numFmtId="9" fontId="7" fillId="0" borderId="0" applyFont="0" applyFill="0" applyBorder="0" applyAlignment="0" applyProtection="0"/>
  </cellStyleXfs>
  <cellXfs count="20">
    <xf numFmtId="0" fontId="0" fillId="0" borderId="0" xfId="0"/>
    <xf numFmtId="0" fontId="1" fillId="2" borderId="1" xfId="0" applyFont="1" applyFill="1" applyBorder="1"/>
    <xf numFmtId="0" fontId="1" fillId="2" borderId="2" xfId="0" applyFont="1" applyFill="1" applyBorder="1"/>
    <xf numFmtId="0" fontId="0" fillId="3" borderId="2" xfId="0" applyFill="1" applyBorder="1"/>
    <xf numFmtId="0" fontId="0" fillId="3" borderId="3" xfId="0" applyFill="1" applyBorder="1"/>
    <xf numFmtId="0" fontId="0" fillId="0" borderId="2" xfId="0" applyBorder="1"/>
    <xf numFmtId="0" fontId="0" fillId="0" borderId="3" xfId="0" applyBorder="1"/>
    <xf numFmtId="0" fontId="0" fillId="4" borderId="0" xfId="0" applyFill="1"/>
    <xf numFmtId="0" fontId="3" fillId="5" borderId="4" xfId="0" applyFont="1" applyFill="1" applyBorder="1"/>
    <xf numFmtId="0" fontId="3" fillId="0" borderId="4" xfId="0" applyFont="1" applyBorder="1"/>
    <xf numFmtId="0" fontId="0" fillId="3" borderId="1" xfId="0" applyFill="1" applyBorder="1"/>
    <xf numFmtId="0" fontId="0" fillId="0" borderId="1" xfId="0" applyBorder="1"/>
    <xf numFmtId="0" fontId="1" fillId="2" borderId="0" xfId="0" applyFont="1" applyFill="1"/>
    <xf numFmtId="0" fontId="0" fillId="0" borderId="0" xfId="0" pivotButton="1"/>
    <xf numFmtId="0" fontId="0" fillId="0" borderId="0" xfId="0" applyAlignment="1">
      <alignment horizontal="left"/>
    </xf>
    <xf numFmtId="0" fontId="2" fillId="0" borderId="0" xfId="0" applyFont="1"/>
    <xf numFmtId="0" fontId="0" fillId="3" borderId="5" xfId="0" applyFill="1" applyBorder="1"/>
    <xf numFmtId="0" fontId="0" fillId="3" borderId="6" xfId="0" applyFill="1" applyBorder="1"/>
    <xf numFmtId="9" fontId="0" fillId="0" borderId="0" xfId="1" applyFont="1"/>
    <xf numFmtId="0" fontId="0" fillId="0" borderId="0" xfId="0" applyNumberFormat="1"/>
  </cellXfs>
  <cellStyles count="2">
    <cellStyle name="Normal" xfId="0" builtinId="0"/>
    <cellStyle name="Percent" xfId="1" builtinId="5"/>
  </cellStyles>
  <dxfs count="20">
    <dxf>
      <font>
        <b/>
        <i val="0"/>
        <strike val="0"/>
        <condense val="0"/>
        <extend val="0"/>
        <outline val="0"/>
        <shadow val="0"/>
        <u val="none"/>
        <vertAlign val="baseline"/>
        <sz val="11"/>
        <color theme="1"/>
        <name val="Aptos Narrow"/>
        <family val="2"/>
        <scheme val="minor"/>
      </font>
    </dxf>
    <dxf>
      <fill>
        <patternFill patternType="solid">
          <fgColor theme="9" tint="0.79998168889431442"/>
          <bgColor theme="9" tint="0.79998168889431442"/>
        </patternFill>
      </fill>
      <border diagonalUp="0" diagonalDown="0">
        <left/>
        <right/>
        <top style="thin">
          <color theme="9" tint="0.39997558519241921"/>
        </top>
        <bottom style="thin">
          <color theme="9" tint="0.39997558519241921"/>
        </bottom>
        <vertical/>
        <horizontal/>
      </border>
    </dxf>
    <dxf>
      <fill>
        <patternFill patternType="solid">
          <fgColor theme="9" tint="0.79998168889431442"/>
          <bgColor theme="9" tint="0.79998168889431442"/>
        </patternFill>
      </fill>
      <border diagonalUp="0" diagonalDown="0">
        <left/>
        <right/>
        <top style="thin">
          <color theme="9" tint="0.39997558519241921"/>
        </top>
        <bottom style="thin">
          <color theme="9" tint="0.39997558519241921"/>
        </bottom>
        <vertical/>
        <horizontal/>
      </border>
    </dxf>
    <dxf>
      <fill>
        <patternFill patternType="solid">
          <fgColor theme="9" tint="0.79998168889431442"/>
          <bgColor theme="9" tint="0.79998168889431442"/>
        </patternFill>
      </fill>
      <border diagonalUp="0" diagonalDown="0">
        <left/>
        <right/>
        <top style="thin">
          <color theme="9" tint="0.39997558519241921"/>
        </top>
        <bottom style="thin">
          <color theme="9" tint="0.39997558519241921"/>
        </bottom>
        <vertical/>
        <horizontal/>
      </border>
    </dxf>
    <dxf>
      <fill>
        <patternFill patternType="solid">
          <fgColor theme="9" tint="0.79998168889431442"/>
          <bgColor theme="9" tint="0.79998168889431442"/>
        </patternFill>
      </fill>
      <border diagonalUp="0" diagonalDown="0">
        <left/>
        <right/>
        <top style="thin">
          <color theme="9" tint="0.39997558519241921"/>
        </top>
        <bottom style="thin">
          <color theme="9" tint="0.39997558519241921"/>
        </bottom>
        <vertical/>
        <horizontal/>
      </border>
    </dxf>
    <dxf>
      <fill>
        <patternFill patternType="solid">
          <fgColor theme="9" tint="0.79998168889431442"/>
          <bgColor theme="9" tint="0.79998168889431442"/>
        </patternFill>
      </fill>
      <border diagonalUp="0" diagonalDown="0">
        <left/>
        <right style="thin">
          <color theme="9" tint="0.39997558519241921"/>
        </right>
        <top style="thin">
          <color theme="9" tint="0.39997558519241921"/>
        </top>
        <bottom style="thin">
          <color theme="9" tint="0.39997558519241921"/>
        </bottom>
        <vertical/>
        <horizontal/>
      </border>
    </dxf>
    <dxf>
      <fill>
        <patternFill patternType="solid">
          <fgColor theme="9" tint="0.79998168889431442"/>
          <bgColor theme="9" tint="0.79998168889431442"/>
        </patternFill>
      </fill>
      <border diagonalUp="0" diagonalDown="0">
        <left/>
        <right/>
        <top style="thin">
          <color theme="9" tint="0.39997558519241921"/>
        </top>
        <bottom style="thin">
          <color theme="9" tint="0.39997558519241921"/>
        </bottom>
        <vertical/>
        <horizontal/>
      </border>
    </dxf>
    <dxf>
      <fill>
        <patternFill patternType="solid">
          <fgColor theme="9" tint="0.79998168889431442"/>
          <bgColor theme="9" tint="0.79998168889431442"/>
        </patternFill>
      </fill>
      <border diagonalUp="0" diagonalDown="0">
        <left/>
        <right/>
        <top style="thin">
          <color theme="9" tint="0.39997558519241921"/>
        </top>
        <bottom style="thin">
          <color theme="9" tint="0.39997558519241921"/>
        </bottom>
        <vertical/>
        <horizontal/>
      </border>
    </dxf>
    <dxf>
      <border outline="0">
        <left style="thin">
          <color theme="9" tint="0.39997558519241921"/>
        </left>
        <bottom style="thin">
          <color theme="9" tint="0.39997558519241921"/>
        </bottom>
      </border>
    </dxf>
    <dxf>
      <fill>
        <patternFill patternType="solid">
          <fgColor theme="9" tint="0.79998168889431442"/>
          <bgColor theme="9" tint="0.79998168889431442"/>
        </patternFill>
      </fill>
    </dxf>
    <dxf>
      <font>
        <b/>
        <i val="0"/>
        <strike val="0"/>
        <condense val="0"/>
        <extend val="0"/>
        <outline val="0"/>
        <shadow val="0"/>
        <u val="none"/>
        <vertAlign val="baseline"/>
        <sz val="11"/>
        <color theme="0"/>
        <name val="Aptos Narrow"/>
        <family val="2"/>
        <scheme val="minor"/>
      </font>
      <fill>
        <patternFill patternType="solid">
          <fgColor theme="9"/>
          <bgColor theme="9"/>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colors>
    <mruColors>
      <color rgb="FF0B4F8A"/>
      <color rgb="FFFF9800"/>
      <color rgb="FF3333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4.xml"/><Relationship Id="rId26" Type="http://schemas.openxmlformats.org/officeDocument/2006/relationships/styles" Target="styles.xml"/><Relationship Id="rId3" Type="http://schemas.openxmlformats.org/officeDocument/2006/relationships/worksheet" Target="worksheets/sheet3.xml"/><Relationship Id="rId21" Type="http://schemas.microsoft.com/office/2007/relationships/slicerCache" Target="slicerCaches/slicerCach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3.xml"/><Relationship Id="rId25"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pivotCacheDefinition" Target="pivotCache/pivotCacheDefinition6.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microsoft.com/office/2007/relationships/slicerCache" Target="slicerCaches/slicerCache3.xml"/><Relationship Id="rId28" Type="http://schemas.openxmlformats.org/officeDocument/2006/relationships/powerPivotData" Target="model/item.data"/><Relationship Id="rId10" Type="http://schemas.openxmlformats.org/officeDocument/2006/relationships/worksheet" Target="worksheets/sheet10.xml"/><Relationship Id="rId19" Type="http://schemas.openxmlformats.org/officeDocument/2006/relationships/pivotCacheDefinition" Target="pivotCache/pivotCacheDefinition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2.xml"/><Relationship Id="rId27" Type="http://schemas.openxmlformats.org/officeDocument/2006/relationships/sharedStrings" Target="sharedStrings.xml"/><Relationship Id="rId30"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9.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Ex1.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2.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[Excel_dashboard (Recovered).xlsx]2021-Present!PivotTable4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aseline="0"/>
              <a:t>Top 5 States 2021-Present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'2021-Present'!$B$3</c:f>
              <c:strCache>
                <c:ptCount val="1"/>
                <c:pt idx="0">
                  <c:v>Total</c:v>
                </c:pt>
              </c:strCache>
            </c:strRef>
          </c:tx>
          <c:spPr>
            <a:solidFill>
              <a:schemeClr val="accent1"/>
            </a:solidFill>
            <a:ln>
              <a:noFill/>
            </a:ln>
            <a:effectLst/>
          </c:spPr>
          <c:invertIfNegative val="0"/>
          <c:cat>
            <c:strRef>
              <c:f>'2021-Present'!$A$4:$A$9</c:f>
              <c:strCache>
                <c:ptCount val="5"/>
                <c:pt idx="0">
                  <c:v>Bihar</c:v>
                </c:pt>
                <c:pt idx="1">
                  <c:v>Jharkhand</c:v>
                </c:pt>
                <c:pt idx="2">
                  <c:v>Madhya Pradesh</c:v>
                </c:pt>
                <c:pt idx="3">
                  <c:v>Telangana</c:v>
                </c:pt>
                <c:pt idx="4">
                  <c:v>Uttar Pradesh</c:v>
                </c:pt>
              </c:strCache>
            </c:strRef>
          </c:cat>
          <c:val>
            <c:numRef>
              <c:f>'2021-Present'!$B$4:$B$9</c:f>
              <c:numCache>
                <c:formatCode>General</c:formatCode>
                <c:ptCount val="5"/>
                <c:pt idx="0">
                  <c:v>7799</c:v>
                </c:pt>
                <c:pt idx="1">
                  <c:v>911</c:v>
                </c:pt>
                <c:pt idx="2">
                  <c:v>10135</c:v>
                </c:pt>
                <c:pt idx="3">
                  <c:v>5256</c:v>
                </c:pt>
                <c:pt idx="4">
                  <c:v>1078</c:v>
                </c:pt>
              </c:numCache>
            </c:numRef>
          </c:val>
          <c:extLst>
            <c:ext xmlns:c16="http://schemas.microsoft.com/office/drawing/2014/chart" uri="{C3380CC4-5D6E-409C-BE32-E72D297353CC}">
              <c16:uniqueId val="{00000000-CC08-4DDE-ABEF-F746A53AC680}"/>
            </c:ext>
          </c:extLst>
        </c:ser>
        <c:dLbls>
          <c:showLegendKey val="0"/>
          <c:showVal val="0"/>
          <c:showCatName val="0"/>
          <c:showSerName val="0"/>
          <c:showPercent val="0"/>
          <c:showBubbleSize val="0"/>
        </c:dLbls>
        <c:gapWidth val="182"/>
        <c:axId val="720648032"/>
        <c:axId val="720636992"/>
      </c:barChart>
      <c:catAx>
        <c:axId val="72064803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0636992"/>
        <c:crosses val="autoZero"/>
        <c:auto val="1"/>
        <c:lblAlgn val="ctr"/>
        <c:lblOffset val="100"/>
        <c:noMultiLvlLbl val="0"/>
      </c:catAx>
      <c:valAx>
        <c:axId val="72063699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06480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[Excel_dashboard (Recovered).xlsx]2020-2021!PivotTable2</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'2020-2021'!$B$3</c:f>
              <c:strCache>
                <c:ptCount val="1"/>
                <c:pt idx="0">
                  <c:v>Total</c:v>
                </c:pt>
              </c:strCache>
            </c:strRef>
          </c:tx>
          <c:spPr>
            <a:solidFill>
              <a:schemeClr val="accent1"/>
            </a:solidFill>
            <a:ln>
              <a:noFill/>
            </a:ln>
            <a:effectLst/>
          </c:spPr>
          <c:invertIfNegative val="0"/>
          <c:cat>
            <c:strRef>
              <c:f>'2020-2021'!$A$4:$A$9</c:f>
              <c:strCache>
                <c:ptCount val="5"/>
                <c:pt idx="0">
                  <c:v>Bihar</c:v>
                </c:pt>
                <c:pt idx="1">
                  <c:v>Rajasthan</c:v>
                </c:pt>
                <c:pt idx="2">
                  <c:v>Telangana</c:v>
                </c:pt>
                <c:pt idx="3">
                  <c:v>Uttar Pradesh</c:v>
                </c:pt>
                <c:pt idx="4">
                  <c:v>West Bengal</c:v>
                </c:pt>
              </c:strCache>
            </c:strRef>
          </c:cat>
          <c:val>
            <c:numRef>
              <c:f>'2020-2021'!$B$4:$B$9</c:f>
              <c:numCache>
                <c:formatCode>General</c:formatCode>
                <c:ptCount val="5"/>
                <c:pt idx="0">
                  <c:v>4754</c:v>
                </c:pt>
                <c:pt idx="1">
                  <c:v>8153</c:v>
                </c:pt>
                <c:pt idx="2">
                  <c:v>4209</c:v>
                </c:pt>
                <c:pt idx="3">
                  <c:v>6802</c:v>
                </c:pt>
                <c:pt idx="4">
                  <c:v>5447</c:v>
                </c:pt>
              </c:numCache>
            </c:numRef>
          </c:val>
          <c:extLst>
            <c:ext xmlns:c16="http://schemas.microsoft.com/office/drawing/2014/chart" uri="{C3380CC4-5D6E-409C-BE32-E72D297353CC}">
              <c16:uniqueId val="{00000000-CC00-4396-909E-D556462D33C6}"/>
            </c:ext>
          </c:extLst>
        </c:ser>
        <c:dLbls>
          <c:showLegendKey val="0"/>
          <c:showVal val="0"/>
          <c:showCatName val="0"/>
          <c:showSerName val="0"/>
          <c:showPercent val="0"/>
          <c:showBubbleSize val="0"/>
        </c:dLbls>
        <c:gapWidth val="182"/>
        <c:axId val="91975536"/>
        <c:axId val="91976496"/>
      </c:barChart>
      <c:catAx>
        <c:axId val="919755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976496"/>
        <c:crosses val="autoZero"/>
        <c:auto val="1"/>
        <c:lblAlgn val="ctr"/>
        <c:lblOffset val="100"/>
        <c:noMultiLvlLbl val="0"/>
      </c:catAx>
      <c:valAx>
        <c:axId val="919764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9755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[Excel_dashboard (Recovered).xlsx]2019!PivotTable1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5 States(2019)</a:t>
            </a:r>
            <a:endParaRPr lang="en-US"/>
          </a:p>
        </c:rich>
      </c:tx>
      <c:layout>
        <c:manualLayout>
          <c:xMode val="edge"/>
          <c:yMode val="edge"/>
          <c:x val="0.31318076729770483"/>
          <c:y val="8.470104919749481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'2019'!$B$4</c:f>
              <c:strCache>
                <c:ptCount val="1"/>
                <c:pt idx="0">
                  <c:v>Total</c:v>
                </c:pt>
              </c:strCache>
            </c:strRef>
          </c:tx>
          <c:spPr>
            <a:solidFill>
              <a:schemeClr val="accent1"/>
            </a:solidFill>
            <a:ln>
              <a:noFill/>
            </a:ln>
            <a:effectLst/>
          </c:spPr>
          <c:invertIfNegative val="0"/>
          <c:cat>
            <c:strRef>
              <c:f>'2019'!$A$5:$A$10</c:f>
              <c:strCache>
                <c:ptCount val="5"/>
                <c:pt idx="0">
                  <c:v>Uttar Pradesh</c:v>
                </c:pt>
                <c:pt idx="1">
                  <c:v>Tamil Nadu</c:v>
                </c:pt>
                <c:pt idx="2">
                  <c:v>Maharashtra</c:v>
                </c:pt>
                <c:pt idx="3">
                  <c:v>Karnataka</c:v>
                </c:pt>
                <c:pt idx="4">
                  <c:v>Delhi</c:v>
                </c:pt>
              </c:strCache>
            </c:strRef>
          </c:cat>
          <c:val>
            <c:numRef>
              <c:f>'2019'!$B$5:$B$10</c:f>
              <c:numCache>
                <c:formatCode>General</c:formatCode>
                <c:ptCount val="5"/>
                <c:pt idx="0">
                  <c:v>62490</c:v>
                </c:pt>
                <c:pt idx="1">
                  <c:v>89648</c:v>
                </c:pt>
                <c:pt idx="2">
                  <c:v>166465</c:v>
                </c:pt>
                <c:pt idx="3">
                  <c:v>34387</c:v>
                </c:pt>
                <c:pt idx="4">
                  <c:v>24186</c:v>
                </c:pt>
              </c:numCache>
            </c:numRef>
          </c:val>
          <c:extLst>
            <c:ext xmlns:c16="http://schemas.microsoft.com/office/drawing/2014/chart" uri="{C3380CC4-5D6E-409C-BE32-E72D297353CC}">
              <c16:uniqueId val="{00000002-EE59-4B2B-9661-5A142C1D1DFE}"/>
            </c:ext>
          </c:extLst>
        </c:ser>
        <c:dLbls>
          <c:showLegendKey val="0"/>
          <c:showVal val="0"/>
          <c:showCatName val="0"/>
          <c:showSerName val="0"/>
          <c:showPercent val="0"/>
          <c:showBubbleSize val="0"/>
        </c:dLbls>
        <c:gapWidth val="219"/>
        <c:overlap val="-27"/>
        <c:axId val="720613952"/>
        <c:axId val="720614912"/>
      </c:barChart>
      <c:catAx>
        <c:axId val="720613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0614912"/>
        <c:crosses val="autoZero"/>
        <c:auto val="1"/>
        <c:lblAlgn val="ctr"/>
        <c:lblOffset val="100"/>
        <c:noMultiLvlLbl val="0"/>
      </c:catAx>
      <c:valAx>
        <c:axId val="7206149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06139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[Excel_dashboard (Recovered).xlsx]3_year_sum!PivotTable5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Seats Built</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'3_year_sum'!$B$3</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'3_year_sum'!$A$4:$A$6</c:f>
              <c:strCache>
                <c:ptCount val="3"/>
                <c:pt idx="0">
                  <c:v>Sum of Public Toilte seats (2019)</c:v>
                </c:pt>
                <c:pt idx="1">
                  <c:v>Sum of Cumulative Seats till Mar 2021</c:v>
                </c:pt>
                <c:pt idx="2">
                  <c:v>Sum of Cumulative Seats till 2023</c:v>
                </c:pt>
              </c:strCache>
            </c:strRef>
          </c:cat>
          <c:val>
            <c:numRef>
              <c:f>'3_year_sum'!$B$4:$B$6</c:f>
              <c:numCache>
                <c:formatCode>General</c:formatCode>
                <c:ptCount val="3"/>
                <c:pt idx="0">
                  <c:v>561298</c:v>
                </c:pt>
                <c:pt idx="1">
                  <c:v>609509</c:v>
                </c:pt>
                <c:pt idx="2">
                  <c:v>636826</c:v>
                </c:pt>
              </c:numCache>
            </c:numRef>
          </c:val>
          <c:smooth val="0"/>
          <c:extLst>
            <c:ext xmlns:c16="http://schemas.microsoft.com/office/drawing/2014/chart" uri="{C3380CC4-5D6E-409C-BE32-E72D297353CC}">
              <c16:uniqueId val="{00000000-13B7-4927-B718-263A4D0D54B3}"/>
            </c:ext>
          </c:extLst>
        </c:ser>
        <c:dLbls>
          <c:dLblPos val="t"/>
          <c:showLegendKey val="0"/>
          <c:showVal val="1"/>
          <c:showCatName val="0"/>
          <c:showSerName val="0"/>
          <c:showPercent val="0"/>
          <c:showBubbleSize val="0"/>
        </c:dLbls>
        <c:smooth val="0"/>
        <c:axId val="1305606704"/>
        <c:axId val="1305614384"/>
      </c:lineChart>
      <c:catAx>
        <c:axId val="13056067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5614384"/>
        <c:crosses val="autoZero"/>
        <c:auto val="1"/>
        <c:lblAlgn val="ctr"/>
        <c:lblOffset val="100"/>
        <c:noMultiLvlLbl val="0"/>
      </c:catAx>
      <c:valAx>
        <c:axId val="13056143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56067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Region!$D$3</c:f>
              <c:strCache>
                <c:ptCount val="1"/>
                <c:pt idx="0">
                  <c:v>Total Seats</c:v>
                </c:pt>
              </c:strCache>
            </c:strRef>
          </c:tx>
          <c:spPr>
            <a:solidFill>
              <a:schemeClr val="accent1"/>
            </a:solidFill>
            <a:ln>
              <a:noFill/>
            </a:ln>
            <a:effectLst/>
          </c:spPr>
          <c:invertIfNegative val="0"/>
          <c:cat>
            <c:strRef>
              <c:f>Region!$C$4:$C$11</c:f>
              <c:strCache>
                <c:ptCount val="8"/>
                <c:pt idx="0">
                  <c:v>Central</c:v>
                </c:pt>
                <c:pt idx="1">
                  <c:v>East</c:v>
                </c:pt>
                <c:pt idx="2">
                  <c:v>North</c:v>
                </c:pt>
                <c:pt idx="3">
                  <c:v>North-East</c:v>
                </c:pt>
                <c:pt idx="4">
                  <c:v>Others</c:v>
                </c:pt>
                <c:pt idx="5">
                  <c:v>South</c:v>
                </c:pt>
                <c:pt idx="6">
                  <c:v>West</c:v>
                </c:pt>
                <c:pt idx="7">
                  <c:v>(blank)</c:v>
                </c:pt>
              </c:strCache>
            </c:strRef>
          </c:cat>
          <c:val>
            <c:numRef>
              <c:f>Region!$D$4:$D$11</c:f>
              <c:numCache>
                <c:formatCode>General</c:formatCode>
                <c:ptCount val="8"/>
                <c:pt idx="0">
                  <c:v>345994</c:v>
                </c:pt>
                <c:pt idx="1">
                  <c:v>159909</c:v>
                </c:pt>
                <c:pt idx="2">
                  <c:v>284568</c:v>
                </c:pt>
                <c:pt idx="3">
                  <c:v>20306</c:v>
                </c:pt>
                <c:pt idx="4">
                  <c:v>3666</c:v>
                </c:pt>
                <c:pt idx="5">
                  <c:v>493489</c:v>
                </c:pt>
                <c:pt idx="6">
                  <c:v>575229</c:v>
                </c:pt>
                <c:pt idx="7">
                  <c:v>0</c:v>
                </c:pt>
              </c:numCache>
            </c:numRef>
          </c:val>
          <c:extLst>
            <c:ext xmlns:c16="http://schemas.microsoft.com/office/drawing/2014/chart" uri="{C3380CC4-5D6E-409C-BE32-E72D297353CC}">
              <c16:uniqueId val="{00000000-87A8-4435-B51A-0AB19325FA6E}"/>
            </c:ext>
          </c:extLst>
        </c:ser>
        <c:dLbls>
          <c:showLegendKey val="0"/>
          <c:showVal val="0"/>
          <c:showCatName val="0"/>
          <c:showSerName val="0"/>
          <c:showPercent val="0"/>
          <c:showBubbleSize val="0"/>
        </c:dLbls>
        <c:gapWidth val="219"/>
        <c:overlap val="-27"/>
        <c:axId val="91901136"/>
        <c:axId val="91896816"/>
      </c:barChart>
      <c:catAx>
        <c:axId val="919011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896816"/>
        <c:crosses val="autoZero"/>
        <c:auto val="1"/>
        <c:lblAlgn val="ctr"/>
        <c:lblOffset val="100"/>
        <c:noMultiLvlLbl val="0"/>
      </c:catAx>
      <c:valAx>
        <c:axId val="918968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9011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[Excel_dashboard (Recovered).xlsx]2019!PivotTable1</c:name>
    <c:fmtId val="4"/>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Top</a:t>
            </a:r>
            <a:r>
              <a:rPr lang="en-US" b="1" baseline="0"/>
              <a:t> 5 States By seats(2019)</a:t>
            </a:r>
            <a:endParaRPr lang="en-US" b="1"/>
          </a:p>
        </c:rich>
      </c:tx>
      <c:layout>
        <c:manualLayout>
          <c:xMode val="edge"/>
          <c:yMode val="edge"/>
          <c:x val="0.30659342055816874"/>
          <c:y val="2.8800413635292579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'2019'!$B$4</c:f>
              <c:strCache>
                <c:ptCount val="1"/>
                <c:pt idx="0">
                  <c:v>Total</c:v>
                </c:pt>
              </c:strCache>
            </c:strRef>
          </c:tx>
          <c:spPr>
            <a:solidFill>
              <a:schemeClr val="accent1"/>
            </a:solidFill>
            <a:ln>
              <a:noFill/>
            </a:ln>
            <a:effectLst/>
          </c:spPr>
          <c:invertIfNegative val="0"/>
          <c:cat>
            <c:strRef>
              <c:f>'2019'!$A$5:$A$10</c:f>
              <c:strCache>
                <c:ptCount val="5"/>
                <c:pt idx="0">
                  <c:v>Uttar Pradesh</c:v>
                </c:pt>
                <c:pt idx="1">
                  <c:v>Tamil Nadu</c:v>
                </c:pt>
                <c:pt idx="2">
                  <c:v>Maharashtra</c:v>
                </c:pt>
                <c:pt idx="3">
                  <c:v>Karnataka</c:v>
                </c:pt>
                <c:pt idx="4">
                  <c:v>Delhi</c:v>
                </c:pt>
              </c:strCache>
            </c:strRef>
          </c:cat>
          <c:val>
            <c:numRef>
              <c:f>'2019'!$B$5:$B$10</c:f>
              <c:numCache>
                <c:formatCode>General</c:formatCode>
                <c:ptCount val="5"/>
                <c:pt idx="0">
                  <c:v>62490</c:v>
                </c:pt>
                <c:pt idx="1">
                  <c:v>89648</c:v>
                </c:pt>
                <c:pt idx="2">
                  <c:v>166465</c:v>
                </c:pt>
                <c:pt idx="3">
                  <c:v>34387</c:v>
                </c:pt>
                <c:pt idx="4">
                  <c:v>24186</c:v>
                </c:pt>
              </c:numCache>
            </c:numRef>
          </c:val>
          <c:extLst>
            <c:ext xmlns:c16="http://schemas.microsoft.com/office/drawing/2014/chart" uri="{C3380CC4-5D6E-409C-BE32-E72D297353CC}">
              <c16:uniqueId val="{00000000-8F2D-4F67-86D2-1F7D4CAA5D57}"/>
            </c:ext>
          </c:extLst>
        </c:ser>
        <c:dLbls>
          <c:showLegendKey val="0"/>
          <c:showVal val="0"/>
          <c:showCatName val="0"/>
          <c:showSerName val="0"/>
          <c:showPercent val="0"/>
          <c:showBubbleSize val="0"/>
        </c:dLbls>
        <c:gapWidth val="219"/>
        <c:overlap val="-27"/>
        <c:axId val="720613952"/>
        <c:axId val="720614912"/>
      </c:barChart>
      <c:catAx>
        <c:axId val="720613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720614912"/>
        <c:crosses val="autoZero"/>
        <c:auto val="1"/>
        <c:lblAlgn val="ctr"/>
        <c:lblOffset val="100"/>
        <c:noMultiLvlLbl val="0"/>
      </c:catAx>
      <c:valAx>
        <c:axId val="72061491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7206139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[Excel_dashboard (Recovered).xlsx]2021-Present!PivotTable4</c:name>
    <c:fmtId val="5"/>
  </c:pivotSource>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b="1" baseline="0"/>
              <a:t>Highest Growth States(2021-2023)</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923838593314152"/>
          <c:y val="0.12742493422216533"/>
          <c:w val="0.76008989406041727"/>
          <c:h val="0.71679447696544218"/>
        </c:manualLayout>
      </c:layout>
      <c:barChart>
        <c:barDir val="bar"/>
        <c:grouping val="clustered"/>
        <c:varyColors val="0"/>
        <c:ser>
          <c:idx val="0"/>
          <c:order val="0"/>
          <c:tx>
            <c:strRef>
              <c:f>'2021-Present'!$B$3</c:f>
              <c:strCache>
                <c:ptCount val="1"/>
                <c:pt idx="0">
                  <c:v>Total</c:v>
                </c:pt>
              </c:strCache>
            </c:strRef>
          </c:tx>
          <c:spPr>
            <a:solidFill>
              <a:schemeClr val="accent1"/>
            </a:solidFill>
            <a:ln>
              <a:noFill/>
            </a:ln>
            <a:effectLst/>
          </c:spPr>
          <c:invertIfNegative val="0"/>
          <c:cat>
            <c:strRef>
              <c:f>'2021-Present'!$A$4:$A$9</c:f>
              <c:strCache>
                <c:ptCount val="5"/>
                <c:pt idx="0">
                  <c:v>Bihar</c:v>
                </c:pt>
                <c:pt idx="1">
                  <c:v>Jharkhand</c:v>
                </c:pt>
                <c:pt idx="2">
                  <c:v>Madhya Pradesh</c:v>
                </c:pt>
                <c:pt idx="3">
                  <c:v>Telangana</c:v>
                </c:pt>
                <c:pt idx="4">
                  <c:v>Uttar Pradesh</c:v>
                </c:pt>
              </c:strCache>
            </c:strRef>
          </c:cat>
          <c:val>
            <c:numRef>
              <c:f>'2021-Present'!$B$4:$B$9</c:f>
              <c:numCache>
                <c:formatCode>General</c:formatCode>
                <c:ptCount val="5"/>
                <c:pt idx="0">
                  <c:v>7799</c:v>
                </c:pt>
                <c:pt idx="1">
                  <c:v>911</c:v>
                </c:pt>
                <c:pt idx="2">
                  <c:v>10135</c:v>
                </c:pt>
                <c:pt idx="3">
                  <c:v>5256</c:v>
                </c:pt>
                <c:pt idx="4">
                  <c:v>1078</c:v>
                </c:pt>
              </c:numCache>
            </c:numRef>
          </c:val>
          <c:extLst>
            <c:ext xmlns:c16="http://schemas.microsoft.com/office/drawing/2014/chart" uri="{C3380CC4-5D6E-409C-BE32-E72D297353CC}">
              <c16:uniqueId val="{00000000-B255-4F74-AAE8-5911B8F8D65C}"/>
            </c:ext>
          </c:extLst>
        </c:ser>
        <c:dLbls>
          <c:showLegendKey val="0"/>
          <c:showVal val="0"/>
          <c:showCatName val="0"/>
          <c:showSerName val="0"/>
          <c:showPercent val="0"/>
          <c:showBubbleSize val="0"/>
        </c:dLbls>
        <c:gapWidth val="182"/>
        <c:axId val="720648032"/>
        <c:axId val="720636992"/>
      </c:barChart>
      <c:catAx>
        <c:axId val="72064803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crossAx val="720636992"/>
        <c:crosses val="autoZero"/>
        <c:auto val="1"/>
        <c:lblAlgn val="ctr"/>
        <c:lblOffset val="100"/>
        <c:noMultiLvlLbl val="0"/>
      </c:catAx>
      <c:valAx>
        <c:axId val="720636992"/>
        <c:scaling>
          <c:orientation val="minMax"/>
          <c:max val="10000"/>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crossAx val="7206480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[Excel_dashboard (Recovered).xlsx]2020-2021!PivotTable2</c:name>
    <c:fmtId val="11"/>
  </c:pivotSource>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IN" sz="1600" b="1" i="0" u="none" strike="noStrike" baseline="0"/>
              <a:t>Top Growth States During 2020–Mar 21</a:t>
            </a:r>
            <a:endParaRPr lang="en-US" sz="1600" b="1" baseline="0"/>
          </a:p>
        </c:rich>
      </c:tx>
      <c:layout>
        <c:manualLayout>
          <c:xMode val="edge"/>
          <c:yMode val="edge"/>
          <c:x val="0.11959861727755007"/>
          <c:y val="5.4317279203289548E-2"/>
        </c:manualLayout>
      </c:layout>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704249863875527"/>
          <c:y val="0.18800586084868254"/>
          <c:w val="0.71083813481784719"/>
          <c:h val="0.69966322574068773"/>
        </c:manualLayout>
      </c:layout>
      <c:barChart>
        <c:barDir val="bar"/>
        <c:grouping val="clustered"/>
        <c:varyColors val="0"/>
        <c:ser>
          <c:idx val="0"/>
          <c:order val="0"/>
          <c:tx>
            <c:strRef>
              <c:f>'2020-2021'!$B$3</c:f>
              <c:strCache>
                <c:ptCount val="1"/>
                <c:pt idx="0">
                  <c:v>Total</c:v>
                </c:pt>
              </c:strCache>
            </c:strRef>
          </c:tx>
          <c:spPr>
            <a:solidFill>
              <a:schemeClr val="accent1"/>
            </a:solidFill>
            <a:ln>
              <a:noFill/>
            </a:ln>
            <a:effectLst/>
          </c:spPr>
          <c:invertIfNegative val="0"/>
          <c:cat>
            <c:strRef>
              <c:f>'2020-2021'!$A$4:$A$9</c:f>
              <c:strCache>
                <c:ptCount val="5"/>
                <c:pt idx="0">
                  <c:v>Bihar</c:v>
                </c:pt>
                <c:pt idx="1">
                  <c:v>Rajasthan</c:v>
                </c:pt>
                <c:pt idx="2">
                  <c:v>Telangana</c:v>
                </c:pt>
                <c:pt idx="3">
                  <c:v>Uttar Pradesh</c:v>
                </c:pt>
                <c:pt idx="4">
                  <c:v>West Bengal</c:v>
                </c:pt>
              </c:strCache>
            </c:strRef>
          </c:cat>
          <c:val>
            <c:numRef>
              <c:f>'2020-2021'!$B$4:$B$9</c:f>
              <c:numCache>
                <c:formatCode>General</c:formatCode>
                <c:ptCount val="5"/>
                <c:pt idx="0">
                  <c:v>4754</c:v>
                </c:pt>
                <c:pt idx="1">
                  <c:v>8153</c:v>
                </c:pt>
                <c:pt idx="2">
                  <c:v>4209</c:v>
                </c:pt>
                <c:pt idx="3">
                  <c:v>6802</c:v>
                </c:pt>
                <c:pt idx="4">
                  <c:v>5447</c:v>
                </c:pt>
              </c:numCache>
            </c:numRef>
          </c:val>
          <c:extLst>
            <c:ext xmlns:c16="http://schemas.microsoft.com/office/drawing/2014/chart" uri="{C3380CC4-5D6E-409C-BE32-E72D297353CC}">
              <c16:uniqueId val="{00000000-AD29-4C5B-9FB8-9EAC4258DBA1}"/>
            </c:ext>
          </c:extLst>
        </c:ser>
        <c:dLbls>
          <c:showLegendKey val="0"/>
          <c:showVal val="0"/>
          <c:showCatName val="0"/>
          <c:showSerName val="0"/>
          <c:showPercent val="0"/>
          <c:showBubbleSize val="0"/>
        </c:dLbls>
        <c:gapWidth val="182"/>
        <c:axId val="91975536"/>
        <c:axId val="91976496"/>
      </c:barChart>
      <c:catAx>
        <c:axId val="919755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91976496"/>
        <c:crosses val="autoZero"/>
        <c:auto val="1"/>
        <c:lblAlgn val="ctr"/>
        <c:lblOffset val="100"/>
        <c:noMultiLvlLbl val="0"/>
      </c:catAx>
      <c:valAx>
        <c:axId val="919764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919755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r>
              <a:rPr lang="en-US" sz="1800" b="1"/>
              <a:t>Regional</a:t>
            </a:r>
            <a:r>
              <a:rPr lang="en-US" sz="1800" b="1" baseline="0"/>
              <a:t> Distribution(2023)</a:t>
            </a:r>
            <a:endParaRPr lang="en-US" sz="1800" b="1"/>
          </a:p>
        </c:rich>
      </c:tx>
      <c:overlay val="0"/>
      <c:spPr>
        <a:noFill/>
        <a:ln>
          <a:noFill/>
        </a:ln>
        <a:effectLst/>
      </c:spPr>
      <c:txPr>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Region!$D$3</c:f>
              <c:strCache>
                <c:ptCount val="1"/>
                <c:pt idx="0">
                  <c:v>Total Seats</c:v>
                </c:pt>
              </c:strCache>
            </c:strRef>
          </c:tx>
          <c:spPr>
            <a:solidFill>
              <a:schemeClr val="accent1"/>
            </a:solidFill>
            <a:ln>
              <a:noFill/>
            </a:ln>
            <a:effectLst/>
          </c:spPr>
          <c:invertIfNegative val="0"/>
          <c:cat>
            <c:strRef>
              <c:extLst>
                <c:ext xmlns:c15="http://schemas.microsoft.com/office/drawing/2012/chart" uri="{02D57815-91ED-43cb-92C2-25804820EDAC}">
                  <c15:fullRef>
                    <c15:sqref>Region!$C$4:$C$11</c15:sqref>
                  </c15:fullRef>
                </c:ext>
              </c:extLst>
              <c:f>Region!$C$4:$C$10</c:f>
              <c:strCache>
                <c:ptCount val="7"/>
                <c:pt idx="0">
                  <c:v>Central</c:v>
                </c:pt>
                <c:pt idx="1">
                  <c:v>East</c:v>
                </c:pt>
                <c:pt idx="2">
                  <c:v>North</c:v>
                </c:pt>
                <c:pt idx="3">
                  <c:v>North-East</c:v>
                </c:pt>
                <c:pt idx="4">
                  <c:v>Others</c:v>
                </c:pt>
                <c:pt idx="5">
                  <c:v>South</c:v>
                </c:pt>
                <c:pt idx="6">
                  <c:v>West</c:v>
                </c:pt>
              </c:strCache>
            </c:strRef>
          </c:cat>
          <c:val>
            <c:numRef>
              <c:extLst>
                <c:ext xmlns:c15="http://schemas.microsoft.com/office/drawing/2012/chart" uri="{02D57815-91ED-43cb-92C2-25804820EDAC}">
                  <c15:fullRef>
                    <c15:sqref>Region!$D$4:$D$11</c15:sqref>
                  </c15:fullRef>
                </c:ext>
              </c:extLst>
              <c:f>Region!$D$4:$D$10</c:f>
              <c:numCache>
                <c:formatCode>General</c:formatCode>
                <c:ptCount val="7"/>
                <c:pt idx="0">
                  <c:v>345994</c:v>
                </c:pt>
                <c:pt idx="1">
                  <c:v>159909</c:v>
                </c:pt>
                <c:pt idx="2">
                  <c:v>284568</c:v>
                </c:pt>
                <c:pt idx="3">
                  <c:v>20306</c:v>
                </c:pt>
                <c:pt idx="4">
                  <c:v>3666</c:v>
                </c:pt>
                <c:pt idx="5">
                  <c:v>493489</c:v>
                </c:pt>
                <c:pt idx="6">
                  <c:v>575229</c:v>
                </c:pt>
              </c:numCache>
            </c:numRef>
          </c:val>
          <c:extLst>
            <c:ext xmlns:c16="http://schemas.microsoft.com/office/drawing/2014/chart" uri="{C3380CC4-5D6E-409C-BE32-E72D297353CC}">
              <c16:uniqueId val="{00000000-DBB3-4DBC-9763-F64B9AA3043F}"/>
            </c:ext>
          </c:extLst>
        </c:ser>
        <c:dLbls>
          <c:showLegendKey val="0"/>
          <c:showVal val="0"/>
          <c:showCatName val="0"/>
          <c:showSerName val="0"/>
          <c:showPercent val="0"/>
          <c:showBubbleSize val="0"/>
        </c:dLbls>
        <c:gapWidth val="219"/>
        <c:overlap val="-27"/>
        <c:axId val="91901136"/>
        <c:axId val="91896816"/>
      </c:barChart>
      <c:catAx>
        <c:axId val="919011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91896816"/>
        <c:crosses val="autoZero"/>
        <c:auto val="1"/>
        <c:lblAlgn val="ctr"/>
        <c:lblOffset val="100"/>
        <c:noMultiLvlLbl val="0"/>
      </c:catAx>
      <c:valAx>
        <c:axId val="9189681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9190113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plotArea>
      <cx:plotAreaRegion>
        <cx:series layoutId="regionMap" uniqueId="{00000000-5C8C-44A5-8A0D-E13E0BC8C5F6}">
          <cx:tx>
            <cx:txData>
              <cx:f>_xlchart.v5.2</cx:f>
              <cx:v>Sum of Public Toilet Seats</cx:v>
            </cx:txData>
          </cx:tx>
          <cx:dataId val="0"/>
          <cx:layoutPr>
            <cx:geography cultureLanguage="en-US" cultureRegion="IN" attribution="Powered by Bing">
              <cx:geoCache provider="{E9337A44-BEBE-4D9F-B70C-5C5E7DAFC167}">
                <cx:binary>1HzZctzGsu2vKPRwny7omodzj0/ELvTEmSKpyS+IlkgDhRlVmL/+JEVSJtstW47NHXHZVsgigUIn
aiEzV66swn9/Hf/ra367dW/GIi/9f30df32btG39X7/84r8mt8XWHxT2q6t89Xt78LUqfql+/91+
vf3lxm0HW8a/EITZL1+TrWtvx7f/899wtfi2Oqm+bltble+6Wzdd3voub/1fHNt76M32prDlwvrW
2a8t/vXtv8qbbbEt32zLmzdn9mv1ZevevrktW9tO11N9++vbZwPevvll97J/MuFNDla23Q2MxeRA
IISIQuztm7wq44ffa3KgKCZCUaTvP4/febYtYNweo94c+hxs9I8n7jPum2nbmxt36z3c6Lf//83F
nt0dnHv29s3XqivbuwmOYa5/fXtY3tjt2zfWV+H9gbC6u7VDOBPm4pfn0PzpFzA7O6c8QW93Kv/u
0J/AO72Nk22+ncC+l4KM8ANOOcNU0u/QPEUOHxAphZJIfD98/9X3yP2URftxejJ0B5XTk1eFSpgk
27a1Pt665AWBgZkXQjHNCbgUfPAzl1LkADFMJEfk8TvvEflZa/aD8nz0Di7h9avCBaJK4rZvLtz2
5ta/IDKYH0jOOVb6j2j2xGWkPtACPIprdu8y9DlAP2/Wfoh2x++A9K+LVwVSmECUty/rOhQdSKIh
qqm7bPQn15HiQCrEseTyHiBIVk9j2s+ZtB+cp2N3gAk3rwqYf7mu3AIlyV/egYg84JpSpTm+xwdC
2BMH0uIAI0mleHQv8Ryff2TZfpj2XGIHrX9dvi60vN8Wj9O0jyv9MyJHxAG4DyAEQe7+8xwh4HOQ
eiD+PZCG3RD3d9b8AJX7YbtIXL0qJE62N9vsBbMNpQcaI6zIYzrRz6CQ4EuKY8YQu/elHSj+3pz9
WDyO2wHj5F+vCgxjoaZ6QbfgB0JqmG5O7yd7h5PBYaSFYHqHk/2tGfsxeBi2A4F5XZHpdFvauntJ
ENiBpExQ8aSYfJo96IECjCTk9++h62l2/wl79qPxfeAOHqevq4ZcfCv//8+2qP/fm4XtvgkBiy0I
EW/uf3e2jeHfm21/m9sX9Bx0wO7rGLXPc+SdQAAHsNoJX/fWAkW8s/WvzNmP2c7wHeR2jr4iIeB4
68ptu81eUAjA4FYYMcIecNqpN4E0Y4h9EPn2p/yfsmg/SE+G7gB0/LqyzeI2T17SZ9SBYDDdSOwv
Y+QBxpxJSEf3gW6HJv+tNfvReBi2g8TidUkyF91NB7qrc9NfxYx/xokxPlCaYEHoXkEGyn7QyYgk
Dzzszn+e5p2fM2k/Jk/H7gBz8flVEbJ19ZIhix8ACyBUk71VimQHiBOhBSH3DsKfI/I3tuyH4tug
HQzWrytMvW/brYMaBbLq44T8+xUjaC4YHAMkywehWD0vU/QBQZwS/YjUDhY/adN+TJ4N3sHm/fHr
8o8uBWzal8OFQEtGE4HlD9I6BikGxH3IJHuTyPrv7dmPyfeBO3isj14VHputm7blC8Ysog+wVlgz
cIAnVQvQK8oQ5A72wI93kvlP2LEfh+8Dd3DYvK4qcmOL/5AYSfGBJpRDq2V/WpcHhAqCqfgBMP/A
sB8g9Kcr7EL1uhT9o21R3JeVx1ufFPYFS3/QwjgUIZyjB8qrnzsRvxOOIQM9Ht5xonvL7svcn7Bt
P1x7L7KD2NHrSjpHIJK9MB0g9EBwgSHfP5SLz+mAgq6zgKYzLAm4Tzs7LZifsugH+PxxM7uovK4G
zPGtg17/yzEBDBIMA2FMSpjs56mHIUUAjocykzx+531D+e/t2A/E47gdFI5fVyV5ur1Jpv9AExkc
hFMFPUi+XxBTB0QpLSh9iHQ7utjPm7UfnN3xOyCdvq6Uc7oFp4dk07qX9Bd9wGDthaLQ5/r2wbtu
g5HSlDx0+fVORfOTNv0Inic3tIvN6wpjl9t061soNh+jyr9fa0J3kisGlA0/UDaIWE8DGnQAABRY
sfTgOzvI/JRF+3F5MnQHlcvXVdec2rlyL9oxpgcUQdMF0eeZ/tvSP4GIRvtXw/yEIfuh+D5wB4jT
315VgQntFsjyL6nEgHdAPa+gnNlLkjU7YAISDyyBuf/IR8e8T/c/Y9B+RP4YuQPJ2etK+ec31icv
mEgIOuCYIsYgk9x/noUrBYAQBast0EOe2QlXf2/Ofjgex+2Acf66Cv+Lrky3Xx4f0X8/d4BOqWC6
Nehhz1CQ/ACW7DFYBftHwfJcvv87O/aj8Gj/DgoX5lVFqSubZfYl1xfBqhWJEEXkcY3XMzCUOmAS
lvDBQor7GLVTyP+9OfvBeBy3A8bV6yrXr7eFzd+cbW+6l3MLaG4hLGA5nnqeviUggSTAxHfSxM8Z
sR+Gp2N3oLh+XYsprm8hd8cvKhBjeQCZWXBYevfMJ6C/iJC+Ww/+QKTg8NMA9VOm/ACPP+5iF471
qwpT1+5uqdFLpm56IBlHIBA/Vxo1ht8TCaLwQ4Daydk/YcgPoHi8g10gXlfW/taR+w8sHBb3Wj1+
WDe8s0ZFAdESgnLyKDruiCY/bdV+bHaG7yD0/nVJJh9vffvG3ELwyh/jyL9PrkDUUiBokTt/+fZ5
HsKUPNASWil3LvXts+M1P2nTfnSeDd7B5uP/32xr/8Kz++B+D8qzM/7hpjzoAN+5hBI7hFffLZ4A
FQV41rfPDsd62Af3Yyv2w/Aw7JnB/+FNdT/ecPd9r+ICFsstv21yfLLn7q+Pfrs92IW5M/Qh5+71
lfu5Orz59S1hsMHhCU53F3mWrR+Lsz8NuQWx7Ne34CkM1Hh2t4MFgpliINkP4LFwBAMhg/9AaQEx
HzEBiamsXJvAlxIg1RxqTCFhaxjCHBD1VXd36I5UYFi7BGOg9UyhEP2+y/Siyqe4Kr9PxsPPb8qu
uKhs2fpf30oB0md9f97d3UkQELiCtZoC1B5oW4MOB8e/bi9hKyucjv+v7UWjWNXOqzqvmiCsCp6X
xo0BOk2kS5ZOer3qahwtdcGTYknyIjrBosxXUT42x1ma4mU0oiJa9NTq2kR13BlCWtkZFQ3SrUnJ
3emIbSKNrtpxGbetwmFpB3dU6qn5NFueLzpS5YeW5smmyFK36Yq+Xfa+SzZNE5fnlknWmiZue73g
lHUuLDLSJ6aaWDcYwpwrD4nK2bEdbaRNVzO/jDoanA6pyxqDMmdjU+gxuI185wqjBqy/WO1UiNCg
Tiue2qOq0ygxRTZXJ4pT8dFDn2VcYpT40mS1RJVx1vV+QWgXL/q0TD+kbf55mJE9tc5eR26eQx4X
/SFPhdsKMSfHjDTJZeRacSVmlp8im5L12Ad+iaRNjJ3K5LCfgsCwHh22gctXgO281DB1SxynSRg0
LjKoTIZLV5I2zLQ6VdWYH5O4tWHssxsS19x0orKXkeLpYYnrfMllP/02zpU4SfiMZjOjoMxDK7I+
N6mi9CirbDqHHtHZGt/VyWiqnKvjoI1tbWDSmDV5jnFj6nFIC1MkUr3H8YwuxOTHS93nuT5UpSXe
oDRuzjM6Ts6ogvhtJZOhORz6qjsWcUycQdUQnVeqqLApGtX3pnCprI+HGuc0zKY6YSaQrMvNXMf6
wvcxoaFoJVOrcmLlkR99GkZ1XhCDItXYRdwV1q4E83RBhiw9i7UnZ7YP0t+CviOryA/lukyD6u6W
+vyyibV6X7eeL3mrxpPMF/15i2UOUOreT4aNireGDK6/UrhKUlNYSj52fBAfqhq7IawHh99prsW5
IKwvFtxF1abjMt8Umg11OHT99LFFJP7ScJu+8zahSxokcbNM7TTFJwPcUr/qclwt+ZS7KCyFsJeJ
7NSmlRnaiCweVwUvijyMsr7aNLWsTnOSt6u4vyLOdiEf+pUMkg/V0IxhlU39WdfCHGMv08+jbLoL
Xrk+5CxpjHLleTviMzpNeJF14/wua3J6mjYBTFngqtDhojnVOafFOue8Ba+exmQ9OGcHM5VBm5ra
ETcvO526OQzqkS9YgIZbmUafW5q7k7Sh5enQ6PEwroc0Neksm03nC3ZSTWN1VM5eeaMIjs5T7wNn
yj4qjzsbuGhFBmxl6JCV70qb+w84c0kbjkkuT73G7tNIWFkssKvbzEhViWNeR914OCjiu8OyiYVd
op6q6TeGAKQrr5ph4XlZ3eR6qEQc4kaI+kTBs6+dwU1n8ccgTsbxMElB6DZp3KtmWVGWoa9URJE+
KasmSxd8ohagqDJthk6q4sgGcPkQ4X56nyiEF7xri4+YjKw4SirbrC3KsjScW96lK9tBmDYQolG2
lLzLP1o7DutOu4CHEOw/dI0eTjBt/VkwoPJ97oBuhTERMjMqH9GNlKlc+zHKTx2pslWfBNGqb9NI
mHKa6XmFx+lL6SP8OXdjHkrX8s0IXgQRto5XKm3r68ES7MMczXwaw5w11U3ct9W7mYnoNg38tMlk
N9+4YeyXJUFwYRxZHC9zOrNxPcaU+2sbYKZCJr2Kwzap1Hg5+Ub2S+n9KFaygVMP45TiRVu6aFja
tMzFJiJjFi2Kbijy07KQNTksOtoVS07s0BmcxfN12jFSGJqwlhrGBEsWXjEn1oSXcR8qr7PTkVcB
pJeYrmqc9KWZO8wMqaNqPelqDpGuAMo8Ps99kZ845eIwYOM4moDFs6GQeEwx+PqoE+nsTafFsJ7G
sTiNMze857aJT9pKi8TMjNS/dQ5uJ3QZuITxw1jzhewaehwHgZpXjSyoDou8lukmi8uhCCNbTF8R
a9LJ9NmkvyRNgAtTp3YoTS2TmZqpQaVeCzlTskTFNE0hs5xNJkuq/NJL6cmyyFOZHEeCJnYhui7W
kMGq0p7LCrnjoUiG6jCda3Y41IQNpzmrhg2sbQIv8EFxXE253QwRrME0QTqOYVpBmERD0l7KsWtX
Pndo27TzJeuloibKou4KjRkrTRz4AC3a1Mk+LMpeekPmTGxdPKF8kdWj+Og63umQiTqNN1k798my
a8QsjE9QPkPMTtsQTcN0G2ON3nPcDletjttsUfVTe3W3k+e4AR82Y0DYJfYN+xh4XRxDwGZHngeV
4amLF8Mwnc46Z2PYiWQwimcns56PSAsOazzO55sir1gKCYdNE5joBT+zSeGDsAAoY9M0hZtW3g1B
uWY5o78DcZq6VR2oYnpHY5S85wnt766O1HGGCxGvLa3o+3RMId7BKsm2Pmoq3bqlK5r2PJBdHpmg
J/pjnetig8uUVSZjqKEbHuA+CqMgisaFSICvmaJwGV/4zAPQlqVpce7HPmmXqvf55ybK0LlLg3Yy
Be1EH7p+KoFD6LFeIJl3n5uiLM47MgeLKo5mGsYx91d+ZsFWQYOahLzz0i67OIZAg4qEhUlOmiYk
OSvO4a6boygJkN+IGg1jmCWdv/V5guiiiIdYmUhpJjfV1JbKuI7KJFRBY32YoAQCtphx4MO0LYZT
OaJ6DquyFYOJOa5vYF8iz0JZ9tWRTxpah2xovoJ+lW/qZpZfO9bPNlRjpIKwJQH3IWSmeVlXTQrM
IUXxZx7F7oSjtP8Y2HwuDZp8etrj6r0aGk5M7m2Ml7BmhR8XzqfLtOjTbpEU5Q1sVYkglUXu01xW
1aFrMsC870R3Nma1tiZBRWuiKhshpqRVanKhsmlVZl1zkdp5BpeP2gCbnKaJM2nTdJ9tl7nOxEhj
vIo5GT5NSUFyk2U4jZeBYvFxwFT8vhtFcgvvYqHg0v2QV8uqq2Yc2rmER2+Mi2Yxt65uICp3npjG
MxFKWD6oFxFJi7DvuuhD37jSNDRxaydaYuomr8OgmOblPCVrIKSbDGXCG5em5YpNog4VmkVrsrGt
jqgaKjMUJVsiLyEE2iLzHwersyWL2zGEvA/xJIOn8ihWNNq0cV6fVH08XDeRGsK8jYoFxWz8rBuR
56F3qPkSu0LZcE4S+nUsqnCI+mWUVfPnJBK3vY2cCQSKNz4iPTZqEnNs2KS40V0lqnUUFRMymU3m
9TQlZFoGrUOfMINs9DFpqqAw80j5Be2FOpytT92SujxvNnFb59gMuiMNBNoy+1LHfGzCGQLEYmBV
VxihkqAPRaXrjYN0EbaQAw5Hm9eXlbbDh6gdG8OHnAxrnwLLDJLyuCcyCUzTpsm0CXyhRuPKkham
JHq4VlleOsMbMJrKrPgiMZAEYjPGF0WfBbeOBQWwTiLg2qNy7yACIRJ2iNYNPASVv0D1oE8YwnGw
AO1PX2Rp6a5ANufZOhJZXpthKpvfhJU2M75OS7wAgjZ9Vmqsv3axBO+QbdnoY3A8IIa2TKqtFp2/
5rinJx2j5KIYsX+vqMrqJa27CpJdLCbIs/HEw94Ges1INW7g6RmSVZGg7oa1k7abarb6WFBZxBBq
ZV2a1A1KQ8SlZb9IfRsYWJmfbPK8YLEJvIw/wT4VEU7wqDQm73IAsK1o24ZA2fBWK98dYTHEpwMp
qtxM6o6C9W0MfKCYiQNyQCNqgBN6M+vJn0yRcLNp+qkOzEwipNdJyYpbCBLpNh0GeZorlNLFNDbl
EuYMVWGv7Bj2LU6yxWjLKFrgqPrgRdofg7Oy0NohCPua4iNM7WgUzZhJeDcsIaqWi0QGBC+s1BEz
WKQ0CeN5it+nca5vYl2Da7tEZF/GjqcnruaaGGnVWJjeO/yFdrZejCiJQxtkZFVPUDcOrKyXFRmP
XTRlppmzdKlpkp/TdC4vKilSEvZBLELtcwgsdZUeDs67kEOQ3OocSVOpjv9ms2T+MuZNkZtaTfHp
pMv0S02qcjGPeXzVFTj7RKICXdkhhvpPQg456+s6GtYEl74NQYhpsxAcC5FVi3gZtta5YwJusRyL
oVUGBZtBASkoy6uJzjkxCdz3Oy2xCitW037RSS2Pp7jMi7Ab2/yDT2iyGWcgFwsn8jkJXemTG0Fr
IItVpJYNl8W6dHSOV7wok+O41d2FwFFymAMA15r3+RXEi+YkpnAbwIxwBtQlmUw7QMKd5qm/JkNw
JADQCMqvzzKFaDtqFl811fz+ifyxT1PYVRS0gM4rlwKa4BrW8IKs8VRRUBQmltbtvM4cTt/Vw9ye
sUTgxVxieWTnXK5xOSaLv/5SkCOfyxiw9YFSKpVWMPuYgmTz9EuJxdUcyWxcD0mcnwDLaC/iaKgW
FKXJdT27bgUlmTj0w9Dc/vU3gxTzp28G2QSWy0gG+5QZev7NNeeDzAs/rxtVU6A6kvVmrERw7Caa
zSbX0d2SkT9eSPUww/cqzteqnkCdSB5eF/b9x/+5rgr48+0NVX/88u5tY3/8dPr4mrK/PGt9W92t
FvG7J91Jcd+vBcY8SHN38tezH/6kxf1Abbt/69kPDv6cFAdCGIRoAdB/f5XZn9S4Pa8D+UOY++MC
99qcBm0Oc1jQpCiBrZecgjh2r81BVwiac9Ce4xiDV0qQtx+lubu1hFrA2QQ63kwS6KY+SHOwXEdw
pDislCYSdrVL8k+kOXir2vMnSyGQ3iUsroZ0AqtKIMc9f7KauKgnS5L+0Fkbp5tu9tm59FCTLmjU
Af8cxy5PN/AWu7ozsoaK2lhVds0ChBhyCCwoXcJz6w7npOTiFKNs7Ew/WvjbU28/z7bWjYkV6DdL
yKbxEYhGegVqHUFLNyAan1WcF3YTsKn+LHKUlIsKW0jL4MexMFlceLUEQVp+8EPMVriVAzKq7pdQ
PYD4YxX7Us9Tli2jhgFDCoCK5gvIj2oOZwhK7zTuUrsZQcCYQzKiiWyaMQWaVcw9Bape9uqCkqaP
DKvroggnjuPTElH2roUCLjJZ00tIKulQ87AJGm8NVQX6PbGompdNrHS7YCxgl2USsXytoyL+1LCc
dGuloglUgKC9qNM8WvixKLtQpTWUrtSxfpukfjyEF3UU3hS1sJ9ZIPzGRUwV4VAh9G4chFsMBRGH
GLeloSXUt0alJRGG4iG6bgWZPmHg6q0pIcWCwoQquyFKdmlIZ5cJoGRpwZe1l/SUFHg4HcY5OKYF
BMZmZnY+o7boMAhAFcXGsamJV0zXVH/sgZIcTk3i8TLXqOnCuYxJA2UvDiD35zG8OPCw8Z6jc3U3
L9mymSmot2kuE3XtE6gATetcaiJR15+Ip9nST/3dZCWHID1DFivrYQmXYcdUs2ajMii2zvE4lnFY
yKTH57FUcQ+aXTuE6ZA2QAWAlLAOjZetRb+nUwMEKMtIOHgSHVZB14OMFBHjGgzqXOensJ+i+UxL
CUortRzyEmtXNsMT1K185NbEYmALqjt51YPMNNQBBiIWRPooyEFfYGl05VMVn9G8/0hqmoaZKE8c
PB8hvKDoBhfFYdm7w2GMy3WQo2LNvSbhWKZ2See2PAV9sTwS8NhcQn4KDsXYZ2FKGUxd06h1wQqQ
c6o7RaE5SeKAhfBKt8zMkToFid6fgkqOQdOCHJsngwRUWXLDoCJcK9CuPtqWl2c9zfim60kaxrqa
TKCTzvDex+eZquWS5l11KR2rzlw5+pBlHKoISGtQiiQoeh/n41XWAoGdgD0fTt0APE1Kd1SLBMpQ
XUULOVJQi6v0S4VTCokbZ6v4Tk6RMYlWIsrZkpVDZjB0Dkwf6dDitjttcjE3JkoQqJIT767zpL7o
a7fuRzQPpuM4C12atOdRkvuQz1MLbMnSBS9SU3GyhvonjKf+Erg0CBAyuCrL+rbr7EU24NbwCGfL
vAU6WqZenrcteFmsAij74Ihpxqz8xLCuIRjRa9bD8z8VgeFFdJPjZI27Ul8E84xuXWrhSa/q41pA
3wAPUEAhDVKCy8bfZdked0Cgw2YIAPkaarkAZPrARDg2c961Jo64W0c0Dwy1rVzNU+VP0iSQpgTl
KCyAhoeDlCBrT3z+FIDdqzSN5mUCitma0nQ4VUlGENTRw1XGqyvRRulRzgsZapT3IF06uVRsZEuQ
ust3zlu/BBE5NrUo5rO5zTq2mIqRbxIMTDvrQYpeAA2lKGSsjKGsaIIe9GsyfbBpW5mJRsOZ1lA1
iExmS51w/rVt3O91Q+kCdao5GkVEVwke9LLFzIag3BcXXE/CxK0nR2NOsy9VXZYrxEGEMPHAywvW
oniR90ht4EmASNiCgACSc6M+DprEN3XWDxb6qt+z6h6SJ/gdo3rSOILXrsHaFlgIebemCIgPhb7W
U8ZVVa5JUpAdDhXxfbuI8FCIBbwEdTr3ZUHfD1XLIMZVNlsMtJmhsHN9eV02wbR0SY5vurjR6clU
DRgvs5bPm4CICBl3h35YKQxpakCDrMNEgvi/JJ0tkCkVTg55V6jhfGS5c6bK5gGqEZpdThKVFCQA
LXp+XNtZnc5zl10kCrRx1tTRXb+C0ha0jdZ/CSgJhOGJ+Jj5CWqcMpuokTLg3KAGrm4iKYZTHWX+
EIqiad1BfD+e42Bc5aDWmBmkpw0fpT7SUw+Uj3SgSOZVDG4ftR90GtQLMQQpCDTago197sIWeIjB
AU9XcoS81apKmYrNdSgGPU8bJVwANWSPhz5fS3j/qjWjQv3GoYkXJ5JZtdQOdDHU9cEtbAyajrwn
7DCPq2YOHUPBZZaJejlWLT8vJk8vPE2A2w/TcqYuW1kLnSJczl1q+hRX5wU080LVBeqct4J/LIOa
Qv9ONWGbN/UqaUsP4srULmuUtCsaq6uEqzL0/LcynY573W6rFq+7pE4N8Yid1emXvneXOsDqpMIJ
Dnkwu4VKU3+ZoEyHSQUTB3wjLDvUQFwZWLApUWe3GIQjEErZaDrZH7VBeUmGzp4lUZEYjai46G2y
kSzih5BWshC1Iv/gZF1FxnPaHM6yE1D01r5f1nEUGF248lM6jX6BSP1lHBIeOse04bMuNxiezfNG
NvjKxvyrrNh4WSXgeXToujPfch+vApWAAqlmHs2HCuTo+KjsY13e5BOrP+VMVNDUzKRma816flbP
dU8gKHM+ftTziLsFqBD1diIi+wy1GJuveBSQEuyTzRQKHTefMY2TM1W3FMTOUnwZ0khCd7Hv6DLm
NPjSJ5m3YSH6ISxxy9c6QHYhE5BySZGKK0qD9ivNiTYZ0cUVKccuWco4m9c8V32YNx0H2S9xpx10
M3tQscv4N16o+BKxlp2CHA2MoBkgz3dDvBBstEshAnXdZAwbZqnYAqvNJKSTMcabATX5kR2aABTL
ACfI+DzILkGFGIZQQaUDHRmXWRRmedGmIQPC4ZcQ7OpmlY0ghcYQsWozurlrQh9N8VnRxhqmk6SQ
9uU8L3EZNJdTlRYfIbWwWxCoug1QL9DYJlqxEJScFBTaFLoIo+rKTT3pGaKfAnlgOXS4/CB4mp1m
U0bPKlb0l3Gq9afOU3xtCxasoHUaX85BBpSHIldegRnZNZ5nQLexkJqgIYuOhBr646RhvAKBwMuT
JMv7MnS64UsRVX5JHPk81aU9SiQeUtA7s/Rz3lr5aYqG3/u6C1CIcd9vMCpXZLKQugae8nWWTeNv
jk4uMdHYNYnxpYLXSqOkv4IOLfsUjRJ0QlL0UW1iT5Q1VvbzplcF/W3OGrSApBR8Fq1NLy2O9Lb2
zXgNOmB5ksIms8yMJfHAS0rMNyxFfb5kKP9f5r5syU6c6faJOIEkQOiWYQ81l122y74hXHYXCAkQ
IEDw9Gexu/8/7LLDPpfn5ov+ors2g1KpzDUktExIp9Dksi36NkVBfTLeZPucuQ00djipCedqJ8sl
DZxdv/jx4N0tvmlY0hY1EwltCwXMtO5vg4kvmb/R+bvfDECEfTvGn0jrDzapBfXYdadAQCeS+oCm
pmUtEm2cbFLjDUOUWBwWn+NhaN6HS6zOS1GwNCj7EpTPFHjZGBStSEOBSixZZjFeIemNU+avs9NZ
V/TNmoRuoV8sN6s6uWCpXta6A3rcFHq+NfUGGQCAmSHRio/bdYwa2ydGlderQ3o5sMXy72imyU0h
o+mqqumgjpzR7aMdKmpyYsl4CkvnfWjHsHqwURu/dI7Y9zNBC+X2kETzpEC3DaLEJmy6WmLL94iR
dCjb6GabDYFOgQj0P0B6ysTaEiASRB/lgw3F9mR96d2vtUOy534FLt1t2nu1U9DWydhQAfpp9MO7
TcgI7YJm822/tdPnrWLsBdTNOh4Q8v0/qy3VGaRmoVLQjuVz62QpDqri5XlCv/FK5TwDWi91nzdW
Ar3sJXd54c1qBhSt+o+kqbcl9VrX5Nrz4y7BIbrkQsVrhepgdCoDBGavx6EW93VciHd4P+3dYgmq
zmgcPjf9QvK4YG2bDSheTOpkbz43trN90sQWEozCkyF0Cos7A4xdjqxBBsjqMCR1WvMO8Vgb190H
gZH3k6TlqffYGCdLULLT0ErQC5rr2SWsVpamlQx4l7WDFR91K8G1hR3/QDyyvqCPYV1SOxkESd+u
0YpQkMPdsLoVQL4V7mEdlmdIO9/Pnu2fmrnvQa64truftO93D7Ny1WneaPg12rydd1m1vZMldec+
XFRuHB2fQQWOr6704ybzli5+3/mueb8FdflxXTROIjXz6twMTTWnG48BvrWkVQcUwt5t2QkaQh/j
teeqrL2USFZ9GOaIXq0ts8OVktqvj2LyZrTaQ7zctaIa7nns5kRX/fYuko1LQh6MZx7N8WeM9XLv
B5RbLiPOK85olaLyQBzT5xb15nCw/dpk24ToTCldO37fE71iAwE5Sbd4Xo9+v7CvYKSG89T73Z1P
lANyz9cmCYZgEegnDSqwahzGMhG95x68YWkSqcPlG2el/V4a7a3JVMfNgDFuoJOTFXniK9rZOZnQ
wvOUhlGfza1HAUAA+kJZVK8fy6UGRYBXDNRVCFOjlzbVMmY7Wj/vbB7A0HLeWObxuAfvOdmnINQ1
yYLCdSjNNGvLY+kta0JI0N/GoHqPuo9YMsWTezYdK9R94zURYnjY86aRQMwz5HN23VtnmwejBlQB
MzpheXR9sKK+4N2OvqEqgtKEdjmTZkEwa7GBxbHlt23Y2PUYx8rP494BihZNqcqsAdV8Pda69xO2
FOt6tWggymcMKoQaqgi69YsRKNv8qW4+uF70/4Rqic++J9pPYaiqj6KdJ7Bb1F+Oi++Rc0cCe4wi
N50h+InTzWunV0WWFR0xA7eYyqbVLu3HeM5WUowH60LviCOpz4Ra0cf5aMYaytHmlwBTkqbk4beA
l+OURMKET5sgemf366QU0RWXc3BYtWZ5O4rt/exW/04Dncmop7pEFKNbU+nq7t0YieJbtxmayHDo
32vfrTizx3E6TJ310C9aJt9tAKUOI1QanwLhzXdaBe6pM7w9o3Uca1SznX8v+RJnojXF7aj98GrG
hn9aLUr/wdPrqeROpqt07WsX8/Y+pEP4hLBHJVwHV0SO7OxIYZ+h7Aqum4hs13wj7lSFbDpPZQUc
27L2SKHhGnn4HjX58LhwqM7qsgxuqol1JxXJ6LOPlXspWF2m6IHCwyyDISs2om7M1MqHka8pYCrQ
EmMD1mWhwBlAkJWvcVB9KJynT0Fo8mbQ7Ijabkk79Jn5ysLhxhr7Wcxbe+zVuBxFJYa8gm4kiyOB
8nSLPwkkrNu2Mss5HOU3wnmxoxUKtBlYLstC1AN0uqJVIU9RafV1EdcUSooK8i3i9JeaLe3tFkCT
IKCvwU3q8dSpwJ5sXfPMs3F9wPOMBy4DlnXiKDocnn9u48iOTv/cxQX7uEZIMEhACIne4OYe0m+7
IJGc6Swpys69SotZV96ZpQ2WNEQIrSmPOEnMxMxBrRM/Lw0r3N9uhL3B0dFPQpwYQPSICUYBDPVv
cPRhKnrXEO7OK3Qi9Tzal0qwZXs0cyDG+zhuSfQAspWzXG/N8m5eO/R/EYQwJF9n7O8qmD8ujobA
yVY6lIemFsDPWBU2/dco3HiQBaMXfuot1Q8CoPztFjH9HPfeBlhiB+SaZSYvvHVtm1J0jZ8Af3gH
Zy17T+fF+zZU0BaqCbQymIiJJ1VfymcrWbBTuMGt8CVAgXj2P0GqgkCRlXvsu6iOMyCxIl83X10H
sL1nbO0YCglW3i8dZFk2HiDq4M167TnHbidd4jhsQ31gTj9T1vmPlpZXfAF1RHfQku/wpbkgmbOz
yJAeyLEqB+QavjMX2LO8QKAchvhXcwFGadDz7zyO4gcXquHdVm7kE4QcfZ/0ClV+oveC3UHURLOy
jOVJTtp9EGCkZAoeEtU9uVT64lL1u0sHIKGL+Ra2A3KnP8f39aVPIGAmT4XDiWbHXlBQt3s7ATQp
+io3SEZCSBjPXkE/lOE6nY2DTsQr8OLVtoaQuYiOJ97es0BBiPYl3juZZu9por27ifc+p6icrfJ4
w/lcd6tIarKgI9p7o3jvkqpqkdlgmvBIe+j36h0RTZFNvBd9abLc3m/Ve+cl9h6M7t3Y6gHe7v0K
LRqwHLRrRlR0ex+Fo/ocUm2+hnzzp6xdLXOfdNTjJYVQTN7ZDf3lcQkiYOEA0s3zUJio/e5V0SRz
MKDlq2VT18Nq8CfYhV5A/582LPcxNofQENMKAmg2diLsB73u1IJ6ZRWOE4la69Z4rrzpFtln48DU
uW38+NzHQ7OkxdQVuRu6+1h3xU3lOtlBHLC4q8iWPdC0zSszIACtSdpGQWIqetCfAXDS56GZzZyU
kvXvIRGZE0PB85arXPKIu/tGF/eLXka2k4zzDYkba0EouOIbNITsEEkTnaOqV49UhOC/XVRfsYi8
N6y6b2nxILQjN2VRTkCAiwPxy/fY4+zOb7ZbNGYijbzAh+ZR+qGXAK+bcGT3cXSqZB/OiY1QoOLs
8E+z4fohimr/gXVkDvIuCMsnwqP2WM61yEs3eWXSsW4B9raq8Q7JpX+IoQI7jKhkbBYCW14g7mFi
zkOn1dXW+02fTgTsKxpw037n09jvBfOEQjK0DxSS0Y9buRRZx+o5DcJNZ6J3cwONGi8+V2AVPrtw
bdp0abrhUFhVHWXTewqnbsDBWdT2UPO1PLVxiC0XREuE5xsil6xNPX9vCiFwfE1+cUQn3MrMjWKt
s4oODfjnCTqTyB+Kx2IW1UtDguJoeSnzomi9dw7ICJACGSdOhvOVrqEdob4kd4AWN0Qlik5dC3et
ROV9Ea02OX7OpsSL23dK1jEFzmv6D/5aYAeULE7mxe56UjNXB+jWcKRt4XxYeW8/z5TIJ68a6ce+
btpT4W9+lXZzj9QEsfDjNtoyG5qAXYfIUlAVcpt34Brypaz4A69I/aH1R4gtVSWoTGK8mSsJt7VG
ExMVN6vafEjqKh/7WtTsxjTdeyEWc5g1AIrochJt1Rg8Qs4KwQOo+gbwjj8VSc1aGz+0UMExyJZB
IpELn0Ssm7a0uPBM/k45DUB1t7Q0OxNVjBqslJBrrfKopS/kwloJ8FcQr4PJGlnIDhNd+Ed9Ybpa
6nlh0skF3adE9m4zZDfzuQS6J08Yck3Ku80Y4uf7OfYdwnQH+YyjcY9CAGxb3c3LBIWtw/+iM2DR
LbSSw3nQW50vS0jOPe0t6uoe0qBkEhugJitqVZ/qOIJWeQWAEWYDWO5rNjHUE/0F03U7vKtC8gzu
OYwTWz4pIZ/lsG8QWoMZ4vKqLzZocWbBD4Z0037X4yEEU3rtKlBEo9eFJ6PWEVa8PyUqEKQ/1xWc
oLBAkoKngBG2W7R/TFM+kHkFSJSfRRlCqH3fq+HGzI+Xi/xHNf+HQv+FCP9/Y7l/T5f/f8hxYy4z
yh9UYf/7sn+luH/97tfbT2xdrB3/80v/cd34+AAQe1RXDEoFAur6f7lu+n8oFini8GhH+JJKDJ75
P7KbYPYXCgX4UIIgAHRDsMz/kd348koIZhNTqIBcw/oNY8n/kPs/LRx8N//9/x99KASs+U/xgkFv
KJt8Bj+g8MP4YlP54Vgbx36EkcENxwrVZVKHzUtrYlTSkNImVTGYQ7fpV4vTJd0ECBAy7lydR9J+
9pNVdnuj2I5Z4ZYwLRb5ce7W+W8V6ttSGbcIA48v/vVZwdX7c0izucAwO1UOx7gpoEmEsDgvIaRM
1krcAHb4GjB3FwHNGkuYI1QEoPuHVf7dO/r9DeBMonhVKAL2d/jDO6KKmHgB7XEsStwA29yc7lYK
0F5FXvUGAriiKJA87NVU9ROKI9zHn2/h7a7eX8H+6TcU6D6UtW+lPWMg6aAb3R+HqVwTQfjTVEG4
27cYG/K/Af2bRw12jdCPVc6/F4pwmV1TQ9mbR422YrTr2vXHtoMxwkLudODWPHd9Iw4COrp0BUKb
9hHKkHlZRMoLv73xHH0Mgc3cNBCxwonBiq9jHS754Kj/jikCphTRd0RdAnSk7VZoDQKVewb0g1IB
z0OcVeBs4D3iptzAWNOH3qs04g8vcu2jz2Mxnv1hjLNA9sVV2Xpx4lGzHsdwq27X4sO2BIjWZnvq
SBweAre4OzeqV8I2JNpZv7ReE2cwgtxtsfhnrpp3bOOf/vzm3uigYDLDlvAh2yURpMpBvK/gDzHC
t9bXJbC6Y8ggG5Nu/VxDswftvU0LSmUaVBCi834Whz9fl+7R//OKoWmLIh4DT72kkZ8v3BjBzSji
+hiPlc5jq+szjzd7otSgrWDjCBngNqfdQKEPXrGhW0hBUx63WFDtaK6r8jDBGJCGcB1ASUFVJgoO
kgwk1lHXhQXHT8HHr15L87/c+34Yvbl3jNnBpyYQ1bvl7o1izZ/A56y8gkyE0DbrQQNel5UyKZvF
O71MXa641Udb2ObOuPg8M3JeVHk1aTEmRROd/01AgTt04U3EUdMB7WaJ8PDQfMXTRJrJ1LHt25/v
+9e1DvYR5lEICeg+SwCnxo9rban0/GHGbS/esNsskBRiX6h/X/QQGZH2kxWwTWj6t/35mxdGAyoi
TDcgPsYO/3zliTbFAqeLPhbzaNJ5EjEqKTv+RdO3M8hvl4VRzNiFOVIwJJyfr4JStWFer/WxWnl7
5NCNXw1F9fKXl3gR6L29TAA3M6WoWQQszz9fpmsGCFJq8K4d1a8FLwYNCFxAktKyMeEBNrnwAGUW
s7V5SzZ11YT6lZQBoAkUb2E7VTh3VpGSYIaNxIZeXm2lf9IjglzVC4XvyZMpa+MnL/LWgx/xOwrR
1RkFYJxBlAVOlmhx8MBe5ICLaR534dF3yG8hcTSVvfDyTuI/G6uQ3KA7hGgY4Da2B/4+6OMY1aHn
YKLAP/XOeSfAYx26Ngk1Fxq8pBImOFA6fnQW6mAK7xbgvfql2eRLWLPHxmzFVWFqkQSsfh3o1J3g
vBRQYLQnzwl/91iIg+7k61AWMUBg5NyecSjXodFJYoL4hpcUulujX6IZMRio8kO/mQ11u3iqEByp
ZxXum8H7JSCMrWaaM2qfIaUV6bJn7xUt2icYzsYk8IY4g+KIpirAxbSog6/EX5GWKVeZXuTLWLo4
Y31P0zLSfSopSOlhV9xMDX03dwuKB7nhIN4iL+e6fiUVHnoubZw1sIBCRGHfDVT9EymcngvTN+Wy
zBA5I3EvkxlzhQMkq91m02bwnrlvRkDUg0gBh8RZCJl+OgVjdUAua48qlC8swHJAqC5Tb8QJrAET
JFAS3YTavK+JeOoBOmIbDjZTRVwdUfwwHCxzkGqGpWnHARTA5kNpNt2jwDgWvH0Z/HE4w5q5uyP1
mAuH1WxWJMuhr6M01tGh7/VrKwaaRP0M/Hu+3hr1qjkcSQ4UUlYGeNBxaYA/stuCIQJjqOky6vM7
VXQUbjmcAQpuuIyCJMgKgziHyNjL1w71FTwUJl1n9eqVHiIWK7vy8jUkHf6V34cfZwWrYFvGLZy3
zZi5onztBGKihVM08SXgYK/qbhwHQlyhG0mB1r2wrtH3Ez6OlUazF78fqT5sdfUCEKo7QZc2XEcF
f/ItvBUDytObqJ5QW+0Lg8rgbowGmyuCw+MSu+uCsPENtOJjoW1iKvkSF6gZw5I9sliLo131C1Cp
OlGIcGKxNS6BO2y476J1EGAEbQ7L0HGl8ZMRKGSq3lf/boEGEUYIe8RHeMcs3O1TALS329ZhsSbg
1cns4fe6xrAkrhBBoALbBNSuADza+TA+z9UNYH8vhxJQpiZG0HZWvlxuHLeLKmZqt0MNouOIsYfQ
jMMN9GkSC9yY1ke+Ng5bjVfmthOiz+WMteMrDCNbz88kgrAhbKiXgPcCy+ZmID8QndSqqIFTFoDL
kcDg/0LC4iH+Bs+B0FX/LnDjh49U98+dwb6KXP3aR7jroq9fLuli4urVOtTRMfCTpK1LXGBEg2w1
ThATrRCzEAuf3YKXiGYA9dCGegrmWJ7MITnFIa1vdBeDV+yRlZCo0FVv5jmk3c3ldBI+otiH7h+9
Z1Bc0ah+Xf2ieKB1d2hQJMGivIE0GFtzCB3NkE+/txrJhFFELtjnEcSp/DCO2MeBh9+dkWtV1OGF
uPA4cP1iUV/t6Wxt8SIqHd1dktIUIr1AXf1cO9ybnKI72kXbqdfhI/qd9igJtgpA5JfVk3UaA7hP
NNwM/3YT1V6wRJLBpohjJ+r43eUJl1W97luil+HjfhTwiD6CKkDe2tfAUHEnG4BLfgs5k1pu4rIO
U1DLCBvoAJKChk3ewc7i1wG5CYf6VZlS58OGUBl8BOMl08UBkkkI2Wa3hsioINZyZJPlfoyhynEe
9m+NnZkv3oa/iiGn0Wosruy+OuANJYR83c1Wtn4W1tiHDk6Lq0smlm4vxKJSZwuUFNjBKLPWLX7i
GiawBH8R4U5ioGQO/zYesQCTnMxBdtN28FQj7zrhgwAJDY6fERkBMYyf388VpnBT4148qyh8JEOR
r5Vaj6yAoUuteJF7hLkN/2VlUKYj0xzmDe9r6RB0g0Di0QZhBdMY1JwzloYJFBT76sKI9CwhKUt4
hayPLgiETIkf7Gd0BZf8q/fsWPQV7N+KABEXHczU0JLk+xk3CFygrBDV4YQNxDd1E0W4a7pbuWpD
VHYphydZ63xaBnXrFXr9AEC4O/EGuxveL5bAXPlyiZXWNi91XL22m3sq/HrFgTH0yTzjVe+nDRyb
OBgttgCM//C4Am3JIniyYPKHbiywg0rgkp2SybT9AaoP+LOiQd4tMBZnAH1Rn4Nyg8UNDiDT4cBb
bX+3Q/XXEtzBOVhaBuVTEyUOEHA2kQ2igGmJ864TRVb3Nki6cVkhX6tC/zSYrXyp4BcdUE4H8gCR
AyDUWI5HweFmxLCE167vnouhtQeHzuqbJ9T2nunaXPst7CGlse9rmK+P6HNkRgtCnjGsQiZbs8Ic
xJnMqokUUKts/glKhEO4oU2au3IvDcwMn18I1I9MjU2XbaVpsEChpda+O8d7A6cq1Mn9NtwxUgUH
Hjhy5YvyZfK0y2pOx3RW0I7QZYMkYvG3623AdoIY5yXe2zxYp1RWEYgLcbwDzwqX6iQ82HQwTQJG
JUh+IdbWNg+Dxk8x9KFLYOwJUKMAz64ahZN3xRub6fBPvaFgs3NoEtK3+uQXxuaUB2cr+mdYRTG1
YjJbMjPoAWfWzYmK2XjEeAAwt3VQ4PI1fszixwIy4beh5kgkIdNhmMIr3c1fSl0u/yjoT06YgVBk
iysqUPfRN8OXvC7Xb5ND8QyBFZIWVJtQPs4q8XqrU0QD3I6qlQmGvcH2HXQQqRZURgmV7OTVFeS0
4+LnM+hdFM8P3qJSb0ACGP3pUMJVkscl1rSsbr1luJYd8m8wLx+Iv1wB5I6TWDYGqdz7x0QIPr5Q
lVNHaK4m72tokXXrnrCz3YLHEpoU+NT8m8FjKmtLpEy/nsYdjvROvaz8XUSPXbt3PpuCKNDfkJbk
JF+J68ShqlA/kQKZpmur9QOzQb+v8JYuGidQ0EbF64KpDSklsf7Y9lNwHWz+80yRKjwyPrcFII5G
9cO3cgOLi5N4yreI26PqUARXrt8Oi0LF5KOHU0ntUSSuPY8HnrqB++e1L5EcfBLa3JtBok5mwF/t
HX0oUNxxhm0aGxQyrU8eGcyECRQo0EQ3iNtuD1E0zMdgWV7EPMVH1c6PVYyIKaA1TLx2RtLEUbDf
5xz7jwTow3GMCNpCnNaJQJk9keoFsuJnH+RSOof+47i5OrGYAZIu1eiuCKm6RPp8ygwvH1q93JiV
fEED2R/8OYQUwafDh8lTn2ucaaWFR4Cu4mqBOQCjKyCBqxfcTYyqKhmFRXW9p9PNgk4BVamyObbm
sITxE5Owba7NDQoM97BxN6AKZLdmQF3jEXFDahmhb4S31FJohTUINkGXfKbVdgBhumPeQ3QXLHX1
4A/EfJY+3n2LMjknip91gAiDR9Q7QVLaocDCO4W5Fe8Z3zz72LF2gNVeLk/gQ2BfHBBudAevZLmm
i1IVnHTIawWGAuSqr9ydB3nuLm/Yk3SDbmWeDWrv0W54WNSYFCqsYyvrpAd/etIlORb+NJ6JqF9b
r3qFTPp5GHAOjS2QZ4b7vJzo1qEJ28sdsMwmLREmd0UQostDTYDmmuY1W73cww0nwX5mtmunGyje
2ePmABBxWEezqRyeO/hTUmD5y31psKVo6GOxW9se7bQWVyuQSShXtbtXkVXv+mmGntMnuVf6c+p4
heoOHX1+OeUG27U3oBJQRsGkm4G7BTNmcBlNEcOuYtuXBgbv74N04MU4fiAWU5iKbirTyUM0ibUo
voKKw68MzSvIGP+lKeb2BlLbl0v0o9/MLcd0GzSrrwAh8FQ6ehc7ecSHhh7bEsfkWODkqo33zw5U
hcGGiR6lmG/DHiuyqv0MLBGfU0fndEQNhaRQmsdBtNATWQFxNvFqsE2gUSXSGMBIlTe7X1WF9sqb
IB+cjbleKfSeQY/LrxpzJmo4IBPp0Xs9gD6bAr4kXrWQTFRApRDtOOImLNHcBo+Xs1c47NMqKJ7+
3PjvGMXbtj/yOeEMeml8ofoNUjbRyTdVt6gjDD4ehLH6NbB4aD46mw9h8ChLxN+fLxn+DtGIML7L
J5DSQj7/hryd65nPkEupo9eiz1UMGHFo7XNvgEPW4EAPm0cUXhwCy256O1S0mZDdzMew/xT35smP
JTywFXrrvbKZuO+Bk+VPai4ffOogZGi4d6J6gAEDM0dSs8wPUeNhalFsUXPb8sMFO720ZRCZf5e2
qV4jZzFCxkaPRG1ttnhQT9JoBU9sXHPjPIIact7rYAyCSi1D2ho4LD6eDVHueT4sMXvfNxEWv5vi
77VXDNct2H+oPvfCswLrHKHNzsIyLs6KkL/qRn4FxUFCMHATGOEIIOKt8bPWGBtRXnzdI9rYmC/F
1TgBBIko6rxGhR/lJdeDOkjVhB0OZ5b4y7L+BofD1wMA7OEzKCBd3sKHLI4x/4eq6VjzMUhGulWn
cUBpVkX9Lg6ph7SKZj8FUcj+gpD9YhHcx4DBJhgHGAQWUMBXP2NXSCZkkkrA1QYuOglxjmQ1Zrq8
kwsmicBegNEnfl3kYGo70Lz1Qzc383th6HFljjz/Obp/xexhLKIQK4Ke8EH5vbkXcLA+2s1iOo4F
i3Pdr7Atg0/Oie6e3DjMCUbcLFm7DPoky7k5/fnqv9la+6xCsn+n5kJl/fwmGjwhs5AgHHvwypkC
oJNCMjn+hQT6TdIAygyJI4am/YamwmkKYQZqieNGZJBOsP9kQ+2+eOt4Nwr9ebVa/uWK5HcPxjCD
Dt8QuZiMd/D6B0S/b4cSZUljj6Wsx+vCAjCXNhjO2J+Acpb4qcLxmRgIxRIalS+N0yvMXQTi+xIW
QT3L75v++Od3/VaqtUcdeESYXfcptr+kTuPpQQrfIOBV/aUz4frPv8WvqlHjYSwcJgP/iQ3aWcY3
qRqzkfCxG6D+GG+CxvznVzBR7kVFq8ZjLPndQKnIWi9s866AP8pH1ZyQOfoa6PqD8ZszXP4fBhl5
ySyX24mq7zZeMGIslNvtn29rZ2V/uS3Ie0OEOvYZviz2820xDItYS0gxj42YgdNoFM9Rj30/+S2O
TErP0P/cVADJPjFrzGHssEQeBpVgnkH3TAbMMhpQxyXaUMgwu3ZFkcHuYKsbEggAv8F1GlrfZVuA
EsTyMxsZNDX1K4SRBjLQqcb4jjKHJLyGQqOs4N4Et7SzjgojQGBP1HBl7OKtEcLXFFpoTGgp2ib1
C8z5mHcoa6ftLqdMvfnD+c/vhv76bnYmOdw/7i1gyX/L5woyO4vG0BzLAu3CGsICwC3Mo3ppgItB
TJKuFYM83jYwQ82zf3lMQKtpoPsOBSEHVFvg2Nkwwu/K+JOXhz5Yonmvmzdo1w9jU263gCRUAsEu
TUrMlvtLWv9FaoXqAJ/0obvJDbMMQn9/xh92HrAMJN0BxSaK0hGalNjLgKktScuH54mGXVJFzQ2c
p0NOat4nnpYHGKfNX27j1+DnGASJ8MJUA9/nwZsog5CfmZmX/RGTAq6gRwFqg0iQ7Rz95UL010wD
6pBgoD4YXvjaYV//6XnBghQ91cocC4zDqGsUIQSaHMzHsu2r3kYgHByolNzR5d5NXdKqATcziTUt
mhkzn0z1QtHCSwx6ueEN+j2FFhDvV+Xd3jO2aN6Bb9/AGgPgFLbUk1egd/lz4P1u0UDggQANuR+G
vzDHLTpXSrbKHCH3JRmmKkkMlnEmbUZUndAmwhOzTN/3fmlVgJ/gz3ldm/gvGevXBMkhiwCfiE/a
Br+qGWAzH7khxBz9oPuHYcxliteAi+kB5uj1b1ejv9ZAnDPCMccAAgqfx29P3o7Y2I+oAX+5lAdl
ujXbacltpGUqSBkCwEVBvVmQHBTDke6brXvuXKduowbFfeCXLyYmK2aQ9bAhofHGZCyotAK4biHQ
HOdbCJXv/7xMv56juGNMUEB1GiGjvxUSDDBPNhiqZY7cW+WxG43NIGNV+eSjfwKM6mezr/9CWv6m
+sbVEBGYSuIjbb/dSTDOYSBTTzEIqQaw2XfQ3yfW0ZsaXsBT1VjgqWXboKOdziPgqWt8MerxghkC
b/dyGIn9TLaAEAoQRZlVmAaKACBXgFbIoUdpaRhazArDqzIW2me6oZu4YCItQeNEQT8fLN+zmQyB
1+70SwBXK8Y0lojODvNfAoiUj6Uaq1QW7IPu6QaNPUg9Q6I42UA6HCq+V9bFIo6wtkMYiC7OLcBJ
LtxGpwM/Aef2be+EI2lxOeeDoSi+MEiLU2PG5bBtCMM/L+Vv00aE2bGQV1KovfbPof6YJk28yWoI
kDbK1VYPCgNwcoJe4kBDTG0FsNzhDESTKwV9AWwONDvEQrdLH2fLRGFeiIbliq/AiC65voHh+ixX
aYCZjhjUZy39fKE2A0MEND/NcNWA7r6raizCn5/k1wI2/r/MnVtznEi2Rn8RE1wTeDkPVVRRulqS
Zcn2C2G3be53SC6//iw00z0SbknRPJw4DxPRY3dTkJA7M/f+9vqIr2xeUZwsPgmreN+EJiVYgLd+
YbMY9+NQeLm9TAkzkhdh4+Z715nzL6YT2J5hy/SdNXMhAa/2Ew6tPRaKRw6HmrbW97jOmLoDrUu+
mlFFK/VmvNFS8v1ORibcqF3zoaisfE+LUXpGC6TqpSYrJB0MFUGZf7LSovZ61c69cOYzZe2iomRT
ABKT+VXV+vN0Kj9D64v3T/UHUhuaQp4vGJNDFETNZ6taqgEWSfaEpKSv5kuOb1zSuXMV3zb1YD6o
meVVqnvZSASclpit47RoXvLQ/cX/KHrQbfbTpH3GLxwENimdYPu3X9Lf7CwA1YEsxhKJsw94lJef
m6RWVyRDVPo1RYqnAkEOydUzNCpCVcw0nLsM5F2K6FFN1d0M44tW2AeKB9XZUxkGOTfCqcY19qzW
t9kS32pxbyYAcYOu+lJQ0ffCiVqEDdnRf/vuf497ji7YUTDvF8e59Rmp75SqzUm8+DQF+FpAfXEJ
FelEOvIpG5UF+TtR77fNMzb2xAGINEuTBwv7ckvPdjGRRvttk5LnILVd0Yzc2ehXWY6fajHt0+vt
KQpJ4gtKDkQj/VIGlF3t7Ixy7A9N3aQHCzHLDqnGe8FjvVA+3RyNHwbzbVENLX//7ObERJO4khap
H0foCLqGe6BbiyoA5bJsGZW3h/9vfm6Z4iiVDI3DxG/LTlpZLYXI1B+s5au188tJYUNltnw7nB3f
20E6612wTYwjoiwNLZRGODm+fLyokVQbmzjyoyiyLl26s4iFje2Npnuk1EQb0ZCyI6HpgTWDbegp
BpN40jSluDZL034czNy9SWR/Ekb/oRX0PteiAyAzyPowMEc9Uh3tReZUhe8OICKqrogvCyOBYChz
qptQT45gGUnGS5pzqV3f0k2anCV9oR3LpK09pdRzL6GfG6QxYW5P+9zgmaGV7AHfybMxGI5kJOtD
E9amn+uhcY6WQ6Gikn5oJ9Wkb9o2fFs3GEOtiS9FrSRekKQhWn9LP87QMLyscByvj/iLSFe+a4va
Thvq/nZio3akmyChw52TWlBKSdqQxtmePfe8i6lTe0WaG+cIVC10YKmbeCKvi2NRmfF5nzSQF3Kz
AC+hBAa9JrVzgrYQX4KcAcSgfKw680MYxbqnkB2+cIQyk4uZta/94BrI51PrnYlmrDfqNmYVGkos
nQMxMrzFfuf5t0x/f+MqGas8CgpIHMu5hw5fHqJVqWyzl6KZXf1Q1XXhB9VAi/s8mQe9Wl4gXV8e
fUCC+kXPvt5u7MSLs+iPTE+Mo4P0EK4FDQMWH9BhUpzEcwiQnlk0xZEigrlfshJHx5iVe4Aa5qW7
XD4puw9dpN9bNmqTYRQoSSxAAz0dBSc9aZ13sj/rxQvZHxOKGcw+hkCjrj51IqcGkiF1jlEz+w3k
OVJE78zedfB8+gkbhSE2nkKDtPVygDmFWSQCQgfBQFLBoyUXKhvJMaOio7DtjJqxAevxdshYbwr4
UWKnyeaG8wRhYxWhQsURiYga+1iXdn2g+NXsqxmYjgxTDcEAJT3FsNqzkjbpvdml7TtpLW29t4dO
uWyQdTbwJDfJuLx86AlIoUzy0j72olKoyyctb9uYPZCs/GBguWeV2zk+0e6etEPqg6mQn94egicF
3PNU+dM9kK/WOcsg+l0E4s+/bKZNY+uNIo6JSBVPTnV7osuj4SCutvOukTGsoVxtv9EXGlwzkOZ1
OaI6LTrd+aik9uxF0m727WAmxz6fnc9qqzOUdcvuLqqOeRo1dwOIyjOrsXmcLrIva5hhl3Y11A96
iCoB5oEW+4Pb3Rh2WO0iqWTvbL4snWd48YxsYE0Mx4EIkkVmbX75jFPcCbNmCT32zKrLwWjGo1qF
2t6VpTx/egi3j7IbdQjtyzbiLyg8BnsXxr6XaWhHZrZgnkEuYm9EQXhyw8jx7DJRmNdqewaG4VeF
FuOkSIGEzJGzF4fGbarnxqFqYnk+09lyouO5WVqLHF+MtqSq3R4gxiSoOUR9yEQ3o/ChW1qWhXLM
K332msDahTD8j2lTt9cj/+WxEhKJRRTeTYql7EUwZDfTXD3MTWIQhPpza4BDNpuAMcI6kld6bHef
YbP9ePuT+a2b02Y4yYijqbRJBRvrs1ZFhyU9fwg04HGTO+mVZm8n8hICxcc8N4O90Zvace5Afsdi
CvY6Ga99YlXOKXWypQ2Q7BW2Ddo+c5lmSSGjizoNYV5PiU152Z0vuIq4lLQKUhE2ixOJpH7HoAs/
VeUfc1K5F5zyVPAVSPasrjWPtV4XiPr0Zq+I8gGSan+Uo3Kfk5D20hnK79sj8NtWYzkQafjjLC6E
7OpXcWMa44hCGwMgM+sXknnnZnnhTV8l+0EL5Tu5yMX4e/350pCEzIp0pO5CD335+eY9CRe1B3/V
ownyEoqpn1FHRRcVnJC9Oufj0VCD5DoSXXShOw2ztmEPoQ3a7I2yZhvqDMGe+tSjdIPLIRRXwUzn
sYZUZRTnU5iUXj3xccoE3Sb/7r5iY+MpLoPbwI/w9IFPkr3nr7Kt51u9RJGm1bP8qZVle+oNXmTF
yeYyaVVxSEMjPEbouj8BO2ruqFoDlQVzeFvF8bw3dcQGEGnI0wAuOwDFkFcoktwzyoq3HU0eJ/ri
+fxnt7/KRWFfNrQIXA0qsaWt0vQIIC7wqMEtrLtcfrImEMCtJFYqEYSVvaXbybGsuwWfriTXuloC
/G4K9asR2ODPwVkXl1FUKke3ycmdyhCWDAO5AwEjDhEJDbZRJMnmf/618JGQUFhE1Uuof/n6WiGy
FJyHODoNypLEYvyayiLClmbp2VaZvHOKMn9bS2HWkQshqYn/skky/+UPJnE3CZ7DOgI07j84dNB8
1ceBEi3TKmB/5+iHvnQ6vxtG5WgouYJMrI4utKRzTpMJmDeJAno4szL/BJoE8VHMopDOrQWwFjDZ
UR8qwqZg8Bukm57aEMGmjufQYieB1OzQtd30/jhBi9J08+Mgjc+mokFzcu2PQRT/4CROvxylzIu8
U+xTiKToKixi56bjtAO8DSYYZiQki+i/9/JhBLJA5so3KUgfKZsThnG2OYwuLIR/OrEp8aFIZ4vF
Qd1an9JFWqAMnkvrmOU5G5CK30M2556hOXJO0WzV7/ye9vvGkmMbbfGceJGp27a7CiUO8rZaB3lw
RMdkHOIJZahGn85lnFOIKujBvIDkGx/CVhyrsm9OTcsLEWltHMqc4bWHglLAAJwAHl+yd3sWKpq2
A08tzQZRgtb5Vc2jxKJs7nLIIDurWBZ3KwAFSN/2DUYb3wCGa/uwsAIU18xXoWXf0C/CFBSoQpMy
VryQ3OR96bDYzcK5ymBZHaky/ILCX3rzYP1K7eybHnHvitqNx8kJ5gvyWvpB60cSK2Vz386ECU0h
8j8trVXKVqtxwugzijID+yEE9xoiXzQiBCIX/oIfMXsvyihTL4YOykYpltUUByFaPNmXpDHrTJ/D
ZlOXMDfphN4m73HVmPmCUkmImGs+0LRp2hOqeNaelA+7Tav6IY5T5ci4ARtouKHKBk9DxmX2XCWi
CjDV43/+NiNUxFOvHBtb4TS/dHniZjTU+5E6/25aVt0k0tszM05t4gyRNtYG9gPdODOIY3sWdapz
BQcN36KM/+t2oXNqbYJbEfGvqEBlvCIAZtqWiL/RfHd+E7bNdayhIiq6oGTm8ZgK3J1rCUzRq6TW
HvqpFD49Su6ZjqHJAdcXx89m8UlM9h85el2oXaZ+RmCTl/TUGAeCP1+xNTm+rDO2LPFCx1siJdDz
BQgEgUlRmGeVy04nyhl/2Awdh3Zex9Ps+kctnX/frPmcR/w/r3Z9/j9s6dSA73AsJAL/VfT8rafz
/k+zyJew4n//Z/9p4MT8jWafJfg8Ffxt668GTu1fnIbILjBdxIIr5mD0J63Y/JdlCSxI2bWbjjAW
XMCftGIdB0a83MlRO/rSMeb8kwZOlozVDmRpIaU3kS2yoD7uqqtDQlWkijKZWn8yA3Pa92Cddsrg
nHIJIAuV9WcOFuFOQpPZg1aY/Lnsfo66/kjy4XNuZ+pdUBPSrXr40YFSQ0Ob94duFL2nKJpCnbAu
PqaV2l4sAhoo7hOsdr50ZnByy8GILADS+1OxiN/DsLpGHsqRMJ4iehqsz/gS1PSyT3elqf7Mq+xG
m8gbZCEUqoIOE0SLyg/AVHBlqSRiS1N/ZXsSkt8E80gbInhfuun41VB+jdvsRPS/JCrgQNYNCERz
Ed6EQGo9elGUg1pPsNiMpLhE/W9cdIk5n1dKhR9XEZBqqmwzX9Kk00PghvdqnH4byLym9D5k5Nwm
SppsKQ9YvgReRyzfR/1EJ6du9ne0gEBUT83LirhxpqdWf5yDqfTgaEIZqDX2mpACpnGge1brf2m9
e91OoThojWHfLif2vVtF9Im2qT+hISbfVRdXdlLSnjO2wXeDUHgSJKfO6e+voNCTBi4hR51Bca/O
aSoU3zsxfW1GN0JmNNeLuKhdmDX8U2FU33vhKlcBOpczWvbFLoZ44M2ZZV7NKfB1Ky9/Jlo3+Ipb
2x8aNSH/FbLb6BMNGJBaOvuU+v8hjZDPDm7dnNf5qN857fwD7D75arJkHwZayj8b5fTZdKoI4eAE
x8dN6J1p1UuzTnu8SjDZmCcl3eN29isunPRkl+5Xt0MSLCT/OpnhKToOGlwCmavn+AXwAeA1cVKh
Z1/EdnYPlu3e7trk3FE7IMXhGN+3Aa0gqU3NouUIQq44zO4gJDh7DbgVR2DXOAxx1O67yvxkG4ht
7FCxrvqkfuR7dX+OatEdMGHLr2e9bLy8w0RPVu09hjMoN8aDKPE7gKf0kMxUhKQqXb8tgMpwqvmS
FaN6Srr2TrOqEUqqXe0wUWiPOZCmBzXENMkSzh2mV/doSm8KA+aFxXzfywgkdSuxNdq5ko7XcWzD
gCqeXjd+ThnwrAhidvaIhKsbU4yA8SxF8aImzT5gqZZB0wiHszzWqiPIy+ZD2LXyPAjNmF0YiZ0s
ighnbuvPXXW1yIvwoMkaoA9Fmdy1ien4egUcDAuZBy1sx4/ARsPzgV0vCM4Q+qQpECHjhZfGMn/I
kjTe86rkYbAmiXFK0qGb7ZXgCzzgxdxEry/pLIROPg0CLpVEJbLTgJR7fdD8LKum8HBViuhomd1r
QSXgNoTL6lUjijpYC1iRtOKcrlXjA/wMCnaBxXrmDvHtoGUR2XD4Hmoyc3ZUxPwHDh2nuAOXLAa7
POGE0aW7atZug7RDba/gIjgBUjnSqYOiuA3svRRh5KXd4KCPqyDn6JFVQLPIcqifiio8d1D6x6l1
xac+7O1T7UzBI/oUVlOVxdWSsOFiE7gc8oHporat+BONEPUlVFdh7DDw0++yWVOu0RrPiEyy5BFS
xaMaNd2xFBPwyBAwZjveVJ3Uf8pKk4vua/CUuGX7w/6XTP9YzueYs1AqbKvvsdUPP6XR5h/syhiA
14rh1HVORh4JirpiZ+lRm8NHx8yqaxrxLpCKADiF6hjSm4TmU93nwDkXx6GLUdJOvAN3l3j54gYG
LcS+MLM8uRnmoLoMtC75AMlD25dqf9mLWMLX7upHqK/YQ1LEu4Zk1++jCTE2bm0oYtuJ4Uzm5JN0
uY1smOa7IJpvRwtjOB34k1dOQ3wGWe6WdUhBWhPQcaBa4fcGRe5Jy5T7cKzVw2wUNNroRfehTB2L
POkce7ReAvDR48sR0jO2gGZ5ayUQ0/LY7GlrshV6jm19h8oq4JSjTeQf6P4/I3/Se8DQLC+IndwH
d9qgh4SIR5+BTd8vymJpG0Th2PqJirvwXJFpezwFbvNG/BHrDrqIhH5E8FUksNSKnatMBjIf7XyQ
fUB4CUj7lkXwgEqAVXG5B05ksGBjmpbKztUfHclszixdHBDDuFdopel01OVSvEiNcPiu0PWIER8p
jHu9cn5ZGDLlQ0/0pSNriCA46s4HSbJrB+rcUEj0YyapDxGZDycFxK0kdzZKsStbFclDhYznUOv0
y7tz9JAXwreUIfMEa0IBlsf9Qu0YMYhb/ShHPijRZveyhu+UjBOqvky9nuV8lbv1BPRdJJ/ooEMA
pSjuvlneNI5OwdHA4hGvSEJPB1W30GckrOVXaesBgzob0SHDFAjvOVqGqGXG5/QW3lAYaq4cNaSk
Rzk+1oSxnwKJjwosWQBGCC6buSjQbNvGqZVpc092ofPmFsGMgEd+Msbym6oQhRCD4usUHERnfZ8K
/TSY1o+8L+BFdFpBUdX6dwrs/2wn+2K/+//PpeOPsi+6Zrr7GSJN+9N3euGO0B751k73rPgRf/vt
3//PFnfx40CQvUjqQAmwaf1ziyucf+G4QSs4B2GcVzlK/rXFNex/kVhatrj/zpAvYJP/MkqQKrJb
Rs1kagjR/pEhx8sUG0ZFSykPPh377ufZb5rg8CaLXSBUaNStD6yFz57/5t855ufsk9euu/z5s9on
CCTJJBrtQ2dFrEXzPE2PkS7Gd7RIr11+neGxlXQi52YfIiq4JNjFrIbEyLn89fbtv0x0/ndYloT6
89vPZ+BYaSAOSCRbeuG13FV3kcHmc4frMaatplF3wfHtH3vtYVaHi5Z3nyDOEYexNTA8RAcVAlaf
hPP17eu/TIv992FWClPbrVU64Cdx6ClQXmkahdePg5qo4nJyumL0FXsWDV3YdXX39g++8kBryVbl
qJW0lx9EsGOP52XUB/3epPE+fid9tGQO/1vX+OuJ1tVIJ54HtesN60BzlD2cC4wH9H2Vtnp0CaY0
0a80oNAp4FGouqTUQWzRcFREsnmngPXKA4rViLIhFNo0YnHaKNXgh2T6qTgYTvjj7fFb1cf++3yr
hHeFfiy12sk64KQo6z0rnY9G7ldFUwUeGHU4LL0lk63QIx3SjIzDdIlMWgkd/T2FxStP6KzSclk4
5eT2B0YYwcreaMpftjXE24ZvzXEpCQQ4iHXWgbqY/Vktp5K9b5+8I8N77daXP382dzOHdq/WaEAv
GnH8Uy3b8rJQ4rR/L8v8yre3Cj2lMkCUAz+HNYgtH6j2c5wJZntbYHNWgafJhqSqdCDtXUnC66CO
imw8UZWlvfH2V8FGB3/vTFlCsClNimWTECPw6ZqZ6r398b4SOtdtQEgtAMVjM+jnWVsHd3YO5vIB
kwxXxQMhcu1bbN4N8U6F87V3vZqIegIxB4GlAkppssUN/iVR9wC0Ufn19sO8cn17Xbpw1F4dRhKM
c6nlhykE4QGJMG2bd97Gssz+TSCzyWA9/1ZdtBFZr0+BX2LWmyOboY35wPlAi6GeR+Z7RNzXfmYV
TwwTAsZQKbbfdb3enQpRFpwmCi0bDxXJjHHbvLZXQaOGlhgYY+74aO3m+7SZwGIikb1/+1289hDL
nz+b14iJHG1gC+XrCu4OEGhs4zI04Wg9ppaTvtd79dobX/782a9ETliljl05fpOZ05mSz+oHN9TA
5rz9EK9dfh09gnhSGRzh93ZNI6SajOYXMZfVYdvlV+Gjl3ZpU4ETvsx4Ax10x4PZK6RWtl1+FTz6
2CgmCjZUojiN8A4mZ1RoyZ7i90qGrw3Paj6nrmLhwc7ouxi6F2fIbgoQZ4k9DzebnmBdi7T1yWg1
ZRS+20boJumvv8F+oJ62DZBYTTSUviSRUe/7lWF22K/PxuhCiskHddsUE6spNsbopTq9sf20DSvz
DNsF6aBAMJv31uYl8vxNRBKrWUY1PFTpS3b8OpiqxktCkGw3uTJLcR5i/ELiKdSn4nOWO8bXvgiH
4p1I/tqeZy19zcYwAGo/EAozJ6vOI4UcFAcHdIQ0+5NwRW9ddAlK4DgSVY4RyxzanjAHo/wo1Q6D
lW0fyGqC4iELxT9VAp9u094z4sH2HZsm/bevvurk+GtnJ1YT1JIdZhN67fqGOjclGBvIWwcseWac
qukEnT6EbV6CtjaHHMm8Q5f3SOGkuNJtx0k+OykSiXdu5ZWptm5icgoUKcCVTb+yg9bYi9n9WY0j
xb23n/SVy1urlbPXGsgzSYjmH6rcF4vl57pVlXxbnLOWr/dZlK5B1CaKYqMDpxOfkjuk5hmaSzO9
J1F7ZRqsC+FtXE+WPjaO301DoJ/BGGzU72OlMSUindLsrgAdk9OuL6rwjyqnG2XjuK0mONT8jLcM
JV4AfkIkUOttvpvwl9kYYq3VBJ9NbHh6ge8b0F3tICaam2ZRKt621758Ds9ejAhctUhwnPDbPqSR
tLCTnWiq5J0g8dpHtZqcsEIiZWQv6Sc6rjx6pyHIncr3kImvXX01NzmWYM0Wl7Ovc27cqZH2WISI
CLYNzGrp1MBum2BaZj+0p+6qnwqV9bMGG73x+quVM0r6rjKaafahzlMZlyMJQQMd/qa7X0v7adKz
qg7SEZxIHcGtgRqADrT32oFfGXhzNZsdkqWOpBnFVzo92qcGrBng+ua2QPekFnr2SSaq0qhDsHgY
a3F2pLUoBFVizse3R2aZNn+zXpqr+VoEVjRTxsAQRbF+ci5M5RGlLJr1bqC48PZvvDY+qylrAFYo
AKFhRMTERVNWJgfNLNNt5+Wnzp1n44MxqmEOsxj80rTEGS2fvZdMxcZw89Rn/OzqWocK3pmT3g/b
zLyIs9y+qsZs462vZiwraZACxaIvvkwCbd9YoJXsaEzfM+B+beBXk9YKwhZ9MHkY2EzjeQqq9xIM
cbZxUq2mLPlRRcJv78AphUOLV4DqZB+sxhHRtu/GWK3BqRbLOpR4pI0hrHj6Q75M7lS88+G/MjbG
atKig0uRkQXyUGcRViRtr+9q1+033vpqI21UiakHCZXTqlC+NDobsMJFNrBpPj3pe599k0jqG0Vp
xX9u3dRrhBFSbL319Wy1HNilkSYPkA8XaiJXb7cPzPI6nt+7Kqsga7n6mCBWAIMETEjoycZhXy2w
ERr5km4mrm7qP+vYzI5hHG5MPRmr2YqpXObEsIKowfW5n2E6xdFIjNv2BksR5fnA0JFvB9mUYnnR
BcNu1CQV3Aqy8rZPZjVXc7h+RWmo/QEqFly/KP7ZJ7O2bdTXkN52brqqjIb+QLeAuaMJ9YsiW33j
xVfzVMVA2JgiBe53rRbAzOJvLWbrGy++mqZ1644JO+EeqST9XiLBCKeH8bjx6qu1FcGJEsaKy627
vXbVUh65Ceww21ai0lfzdOxNvUC23IM7aRBBz4UjLIypFOc9rsorEXLdIKfXo5v3VSj9ycyxlleM
yvKrQe/+2PRJPvWSPosEGuyfBn0NKyt2H+du0mrIO4E2bru6/nI69Tj+GOFk9X7nGl+1RL9tTeN2
26XXM7XFkWqaoNnEkXJNePwy6fbG/NoTTeDZoLhxnNtaAUCPLtqlM8+6L8ECbwsC2mo9BdKiNK7T
974Sd7B/E/vS1rHS2zQq2mqeUhYekLsAKsYy70c8aY+wVC+2XXo1S514QLWVKJPPZdtuB8oywqCn
NcJtoXfdRiZDq49Ss+nA/rrqZ7MjDqBPnLVtO42nJuBn77SvM13NgrL3MR+avXK0v0c0UG4c9tV6
GjhxbcsYtb41Nfhv5hW3nr5XeX0lAqwbEdxC0E2ggDcqG8z0nDbUrjIlqB63vdbVFNVx+266JuZz
pMN9Z+TDZxiHG1/pao7OZumifQP71VgSTZozflm6fLbd92otNQfMI2KDaytJe2/20xWSn3dahl4Z
8HVDYYknb9ihkTlAAlL2ShJcAiDfmB9Yt2iCPKnsWdHB0qkuRuQ2XsBTti20qKspqkTs0xtMjv0s
Km7BmR5xCd8WydXVKmpWAzw0kt6HcsZzfdAvTGvbCrqmDFYTZL0S1Zov8vDSKUe/wP5j0zey7riN
s26M+p6brvJPs+yx3X3YdmHj5boGdB90cMpLNKP0O4LfW2cW2+KUupqPfY0fL0LODglyot3PU6f7
SW+8B/J47dNezUijCBbyr9v5yMDB0xfpyQ3cz9sGZTUj0yxuLexj4FDF7G4Rd35bPCs2RVgkgi9H
nA8b/qTKkhzFYGOtFqts18XQcMutY3Hx8upOK+3OtCSQS/GxKTGD2baToDnp5YUj7I/MOpo6n4bW
fDcY7QJRFvfb7no1JwcK5BMw9/agRdVpyCi+QxDtvG0XX21sm75XUyXj4k5m3Rh99UdsTs3Gl7l8
nc/WYte0JhUIYXtocuPG4tpjL7deezU1tSG2DciNpI11Q73sYcuf1+YoNo7KanZCEpAZ+1k+FDqO
d7OafMpEtGmDBSny5aiMtJ0NqcvMH40JKp1qBqL0dHZA8abQAhrm5Q9UA23F6I3gJJrVN2WQjxQf
Pm36WtZiLUnLeCMMxqXvQ8ur+zSmX1a3N+0jSAi9vPEmkjb5aBoYw3G8wUXinIbcjTPUWc3QJIcK
Y0cQy53UuMoQHB7gLOrbRnwtgIKGjOayl52vVtmtqWT7pIk2bVLoWViNiaUUU2jkra9DttgPuQav
2kx+bXudqwlKJyP4i7xrUQCIL3QonMe29XHbpVfzc2y6IHV0pfEnDQgR/of1sciTbdIFc618Kq2h
gNLC1SkhzV4xl9e2gTnktltfTdC+0oGeaUPjl+hTsh3QfOVCkep0t+3yq+k5KAZR0ex5o3L60bKD
G1vn+6ZLrxVIHQtPVNGk7acivBur6kzN823f4Vp8JAMnFUlmNv4s6+gghxCcTFb8se2+V5Mzns2g
bUawpm6Et445XefOe9vOZZ78XnKBJ/Zy/mC5okM9t7FTpN2TJgdbJFc1xNjdkOj9tN92/6tJikR/
LNLSanzAxl+zyHxUqvR+26VXU3REkpgJrLiY/7I9ybbRYLya20p1pr2apSFtOnFj6Ny4qT3mEga+
qVQP2+58vYaOdZU2atT6+HyYA/0o/WTuCieL0m2LtL2apxj4hU5Pw5U/j+Cccv0+rredxX/j7Gax
VXNgXgwmJ/e2U+MPgSE2laF+Az5mdD7ltZwaDGFyHfqZ3t1q4RC/w2BaPou/+dzXgkrdlqolY75E
QNdL13XtG+ZGRZe5FizlY6B0Yxs1fiGBEqoSFNAQbssO0/XwcqJ2jdn3psuQEx4vMK6/yKxx2xxa
y5TcIczoQsSv1A4g6NjzdOGCItu2WqylSPRUNvB4U6yWS3ljaPVlo3Yb73s1O5uY6oQYlBojDecx
1prbLK03HeKgKr0c7WA08zSsMIgWjMzORSW+q6G/bouHa7lQZyTgz0q3pm4T1Xtc5m57xd22BV3L
6VWVc1ZhqTUUcIOWr4FEBbBURWwbmLUUKcFwe5bJxLxxp3zv9ELcZbE6b3ujaymSTCwRIIar/RmA
wV5rzWtW0m3Vc3MtQ8LhEL/EEavYtnRNNSXW4iYY7RxXpptyOFT4X3416GdxJhoLxj6MBntfkDzz
g8Cst9URzLXcaEr73mnyoPIdpU1rzEWq/Ffv2sPGQ+MTF/fZgVSDDGQOrlItWLbWwy0BRjheksdN
C561mq62PY6OKiF995nQ96pA+E3H4cb4+ITtenbvXUYXSWsUld+adtjttFlPv6XTWITb4pi1Wk1H
bG0aEDeVX0YJPjxd/mnMtG1rnrXa8mZ6OeSK3TPuBYDFqVXb45CV0WnTuK/1RtKQxlRlQ+Un9DQ/
qiXQMcxrqnTbwKwFR9i5VZY+8VrdIqhbfAsdmtKtoKQJe9v9r3a/FOPSsqhAQJdGO5w1jfMpqrNt
uXkARy+nrJ3mOiLgBr602X2Mw/Z2SLuP2+57tesNgwk/k4z2Uvw2vxbloO0ik570bRdfNjjPPvea
lLmj4H7j42DlfAX1MZ76NJcbP5nVVO3og51mwyp9Zqq7oykbaD0A1MO2e9df3nsz4T5WZVzdkjAr
LKgRafGeiunJ6uFvdnhrnlwdj8jrHNjdUqRhAJu8SAg2djym+zB3w/SUV9Pwsc/bbDFKUITfRVFt
3dPiZtc3pmu1zUfXzsUppS5ZnrBVg5BgZzHJeNrGHXXYzWZSN5+GWlf6vTrVRfqtjCKl3gs2lrqn
WeTasQXvxx7cH1myvaBKPZ71NTROX7fHyDzD6XCY9ppKNuGzgrJ3OoIBaRdU9Mg1hwyywBFYR9TS
bafP/THH5mn2FkxD8XW0sW++AY2gJN9bzapr35l1V/rNyPN6VTfDBFGl5ewLW9fSPRyfsD+FGlz9
S+EUNG6p9ax/xD1j2EldNGdVjAONr5auMx0HCJKmJxuwrgdpDyYp7CyCCRrir4wnp3QB+DtNbEAy
KeNGuxiKIHHPMkPrTH9mtIe9ZaTybJ6V/LoppGp6piohtCZBE8wfMy0p7W27kLX6pS7iDn27W/ou
yTYARMklTsrbulbMtfhF5dGAY1SlP2GBmnulOiQ+xIB44+7PXEX7fDR7kfZG6QsrKklZKTtwue9Z
DS3z/28+/7VMzTCDiV1whquByH8GZvoxsOONg+68nLaSMtKIjxDTtg98TGzOA0vbltk0ViHekshq
NNJfvu4Cww3wl9y5mVZui5VriRpmqYbAUQruvJ5gNZXWv0TSbNuxPiHZnsVhfLpcWdhq6YPfqa5p
/4pP2Av9M8+iPzscoGO+HPJIxGpf6KL1w4XnY7L5pq+g775sisNrR6wmD6WUGHD6qRP2D41Tz1Qi
CqfbOOyr71wrYm1WDF6qCHNrPOht0c87W4ES7W26/7XUq8trnEKjrvQpVP0aKvPcUtptLRfmgsN6
vr5WGLzKerJL0HEuOrKutcdsb7iJ/mvbva++eGnVsyF7nDiyGkDdzi5rgxq7o+vbtBimvtrYDFWR
aeoYskEAZ7vr7SE5xHG8cYOw1ntVuKclc8gSTo0Gxl6viX2lDKq/bXBWn/2g0sts4aBBJ2qWnQtD
Wh0O5o3Ypu8312qvNgGjHpQlkazowVgVhvqVM+20LRWsr7Y39pjXc96yXyWVNZ4FJkZnttrZGz/6
1TlEN7LejZcAn8R5CCoZ/Fjf5fm2ObuWfGmNNvYj52RfmQrjZ4Ta/CfMIxxON73YtegLF54CO1oc
QKCDS+UsdRfmbDAM1ju1w1ca38y18It+0CDAs7bw50wzmvsKdFS5x0sIUNnQlqB/2hzXUABJHru4
1N2HLofRY6RYVrnt7WuriU0jrVD7hP3nMNWwv5Q8AUCRR0WVbTtGrwViAOVnzixLZIJHE1zkcQg7
YaqnTt34klbnFlwvGlpSdYy1DXyTd+OQDCb+wqbcuEd5MrJ7tmaKds6bQucHpl7/X87ObFdSXOvW
T4QEGBu4hWhXv7JZ2dyg7AqDbTDGYOyn/0eUdKTK2LV3HsVtKYtFGDdzTo85PsiWw/IJ6v0ft82w
q8xFWuVtuYThCMOvGd6a5K9wAVDe9vCrld1OIZlnkasjYlvwWcVdms63lQD+7nH8x5ioKIJzERxE
jjaDW56AUzXgDeHdbe99dRJbLk2buBU4gcUU+4WnbaVod+NRea0Tczl8f2B1C4qE2aLvCk5WP0yE
4+amd78WisEmbhizIVFHhCtPAKHfy6n9g5fL5Tj5l1j5WifWbrhnZGYEiHlL+V0iDSwhu9Hddohd
S8WcYB0Q3UQdiSjGtoJ95XTH82Xgty3Ta8EY4GojYUOsjjmFWe9UwpU2S/xtM/1aMmb00IJL0YEW
knH3MBuVgcrXr6//+5tedpJ/G/irRVrCknF1Cc53GbIJUXM8t+VexvAA3zMkRsNNMRa59mOCPUcD
SLuRx2Dy70jUH1XOP/3vX/DvU4dcrKT+GR5ma4yrQbRjoUMQFubVNC/rL0em27wByDVjoEOsPPBm
kMdSFw2qO3NxVowuNy0pArOr315+TPtlCwYv37QcOX6S6gqeD7dtBwCt/v70koXc0xnFjsTZxO+G
Dpe/MOYf+vWmZBEeAL//gWJ1jUYYIY8JZ35XtHH8MqJ56qa9EgXo35/uWYeM3E2wqU7abbzr4dn7
lKaaLje9fXYtbCw8a2C/C7BTvBALQgW1AHWIKIb59S1TE3CB33+AgqnjtJYdNkyavl9s/K5Nmpsm
ThZfjTwsSYAPNHh3lHzproPxfRXAF7tpzwEM4fcXH7BDRvDP5PskN8271Uf6/QCbzJvCJli9/f50
2Q3JEqezvAQGxatWhB5tR4ubBp1cCxw1Sl5xoy4LlqNUNk7Fa5S13Y0Dc5XKLd4OfvGdhGwFvmI1
OmKnL0GW4/qH51/5x/+/MsN/AIng1pxujC3YzdhC1fOUJMNy6sQ6mQMSsSU90DJj826ichsfIo+s
4EHn/aS+gEQKs3mWhnOeRZ5WZWjgpMrgrCue1UDBHVbT5AFibXkTvo+N7xZQmXDm1gvttx9EZdn9
qnt75zu+HkizODwCJhW8iuG5GT6ASeb7VzhCsugDLP0B8kPClsGnXRlX8xjKz6dec3As8K/n7pHA
H3K9KZAE+v33+XIhqaSXhmQYal4c00tRPqRd2t52wJJrSdwYCQqP6VUc0y3+xdLpFfjNl1s2AKA+
fn9z5JpeRQwcNxKgs5VpdgYL5k9OF5c5959HN5ref3/4skTA6c6bOE4aZhpnMwfpdqWH6mHnkCG0
ZwZzU/7ltl9yFSckUwmq30rFMdIR22fCyUPQsv1429PT338K9w1g9IaI43qxg46a8Mn26Z/G6TLY
/zZOV7twErfdAj9rcWRy6d5DVZ09F7zdvm19Ep3+9/v/tz9xtRvHTZm3qZ5gN70RwXbcTmbqqtWg
2H7uHDra/pBU/5dPfq2agzyhBWtMtrCbteCmLHRLoA6L5L4Doimtoei+rapErkV0LUftpDESgzak
EYRu7BM2ohtjqmu8YQTDERQCQBBMcB1niTtYkry76Utci+hyAi1nQA/uTrRTbs+lnOlhLOBwu2ft
KuOb1AXkYuv/z5iT4tms6/IINh1w+kOve/sZHum3tbaSv7lB/0hAZ8BCug4YimOeU3uA5rqoGp7c
lqyQayHd2qEUSZaEw8W6yA569WpXlN1NeRy5xlHHTCdS5hJwoLW7ixsYKY/sxjG/WsaexHIeLR4d
QrZvyumguvSm/BCw4d8/p4dTWTeXcMQWXXqf0+h+YrdV8QBW//3RkBVejHA7mG33brrr59keI0re
/+/Jftnp/2Vnu5bQNTTnqycRJjtM2/damwwoHpndFqZda+jiUgBVFkfdMe9mfQ/V66ephSH0ba9+
2eH+McdbBsf9FSjlI4ih8rCUdjjFk7xNikquZXSR33BvqEx37Pp+2mlePES5mfe3vfrVubv18bTM
ZCx3VmXddkhT91EbIW4rKhJ2ddLysbSTzIZyN6zTk5DjsTfjbYf4tZQORvhbq1oEUtIuXTUsQ1wD
9/CHnfe/Tcar9QlQlw3o8MMimtexgmrsQjC/cUu8ltIFmPTMq9UdupaUr4dWj+AKmKG8TZBGrrV0
pQIYFXjREo1WI8CUhWzM/biJ7rY+SPC7fp/uCxuaIZ9ICepVwLXnK1QAf8gY/i7V/ssmcK2ly1hI
YE7V8mPiI7LexyBMocGohdnmBzgljceOloFU+bQqumeorrl6soKusLDUzB+mpQQYM+ikTb+pnKbr
sSlIl99UgSfZ1TkpS0sCouJ53+WbOdDGwvQ3Erfdq5Frhx/iwNSUws574hSHysJ+QEvl9odx/S/T
+drgZ3ETbHJyP+99noBLFQvAEMWN+1OW/j4dqFhYRKZ13gcFiwZn/V+x4bf1D/0HxjEKWk2NJMu+
hWIeOAvO6xisxvqm3e9aMhEgfW5AJp4hrEm/z4q8Vzy9raWSXCsmuELGPups2XexiatNw/m/aSCd
uenNryWhWzQlMIGxl3KSse25I3Gx7Pks5mF32x+4mu1DBx5pkXCgog1nOC19vww1pwD5/bjtD1yd
PMaKJayNXoD543qvisyB7pXddO0BMOXvcxL5AyWagOCUXEzoHAUUQmX5TWJ/ci0J1eAZz80FD7Uu
cPqWczZVo0xvE5ySa0FoxhdYMyzDsk/7RNcELOcKFdvvtw36VXAIJAk4XKQBfijlqiqiCN2EWxbf
FgddK0JbCJ/jLCJ2P0LmBWC2aZ9kTuzbTe9+LQjNnNagI092H5W4gstEaIEipLcNzLUBXWccwJuj
tHs4mqYvA5Ay31kc8tti8ms1aKDcTXbBFjkMTNbwOYc9Udb8yYLnsiT/5dC8dvmSiZhSMZLiwBpJ
1xe+qE4dPEulOWRG4xS8afyvxVTNSpos6bGh0bQAhDmlbT1sy21iKnItptK8ya1leHoLyOYOzGvI
P0b/87ZXv9rMRI8vAD2j2etNe6Cip343q+a2veZaTFXqLLaKUrNfxbIeFC/SCg7D4bbN5lpM5RVh
LBhn9pYHeUhm8TEkPb3xk14d3YGDaTmi1rPXBc9rJbe+hiT1Ntk/bvV/34SH3Oc2Lxq9B73V1H3Q
Q0W0v825CR3Qvz+9yTJpkp7pfWcnDlioknUBa/nbjr9rDdiSeJScDVDvfT+EDyHW21sfD3/yer+c
cf+yYq9VYA1xLlkgVt5Tk6Af5bLH6zT5U43wvz09/31kQLhBudqX5SGLUDpfox+jHD7ctJCu1V8i
SZMGgIv8AJ+vBsDAAIGf5dv8+bbHX63TRI5kDLEpD1SrARrWfmP8AajXobhtrV7bfem5WBA46fJQ
zknVl+mdjG88/K7FXzDimiwQr+VBZQiFL3qI4TZBIrlWfgGg0DU8n8pDuFgfCZdkdcYLV9026FfL
tI8lt8GPIIGJ5jSAyBez29wEybXsK6YQFRGA0ncM8od+iB6yoXu96a3/Q/IFGyFuyJDtUrao5Jhp
ib5r7tTy8bbnXyW5g06mXi5jfsjGZIPHeTZnd5dWvT/5CV4W479sAdd6ri4SOgP1lh2UjuaTbdZV
Pc153LZ79KnmzblVwfFHG5r/j+T67+zg3/7oVaEq92kzrP0kkSlsbtjqRHYy1XshsOrkgTebkNU0
KvBkqoFMONu33pshP49SM64OSKx7oSoZxOrPvPFR840QB9ndEEPSKirS++BchYRHTw+CJYV+XOfG
JewMmGQ+CZDSZBt1VUzKjrSVAU8SSdHI8OkqWk5j+w0YTLUkVSbyTp1JAG5uBBFPJ3m789PqTC08
6bf3sJBzawdGGxg8sPn23QbCXQJqI8uq0sO7XZwSLRi86RVqllZV6CsAvBMOqPk4fNSpQuzY533x
l9IK/9ksU7buGOS+pFowQqJeV5d2x+CXDdQlEZN5+DaiaJuDRm+A23UVLUBe/DJ0mSh/qHYBiQeN
nGE0qoLbV+8/X0R6Jx2U36oBplFz7Vw3J2KXo3Gy2Qdc2aT7KG22uW4KzLQSJEfnKUiDa6DxfVKs
rDx0dAkKfWHT6E+w8R/qnOmVPfbx0hW7uCOO1DxnE6KwQhW7QsEAt9qmlk0D9Jv9yNudLZFi5TUq
JFs74s2mweQVGL45+kbW7thkOcJG7CVMLXf4WiPvKlMgsqtKYLDVblFD+nWyiu1AQ9zyH0sXPDlo
M1LxFExasDc+pXn+RGxDyENoeLG0OxnQo5IdSrckcEQILF/kIzo0Cnwv3QEuOdRtHMp2OcRwNUY0
puIxiJNnZHPfJ7D5xrYeVxSDzzk6kMoPyZZvs6/lkIEk1hbRxQZSLnJwEbpYAkRbcNDJl3XZe3zL
cTynFIW09AxKesErwUR5YIC61iPbnALNlvpoXi+R5Trfx8ss9s5gj3piY7v0H7YtbYcC02FMl0NP
6LzVY8uzFC6x3Msdahy8+FJYMoz35RZQBOI0XjZTOW1RzK/KgubAI0prCSF1SQnpXxNRGHaAwYrY
7ofUJahqxxbeagHXzHZt0bsV+5lZKDmBB36M5fI9lRF6Zgw4o/p9TlVS7Hgz0/476iCFxKJR2bju
5p6O85NY4pZ9gDxrUofe52gTKsd4pHeBRql4SLgT4Wc3yHFBx4yJxuxpwqLl+0Fzn561SvrpE49U
EafY3kTLaJWrrNRPsbUi+Z71TVP4qmlBTz06t670LjZdNn7uHfO0hud9jG701pGkhLUzZfJHY10r
2kpMovhOCZv0J3SXB17jdglnF1olRv8IVd9c4H8eo+zH2Js1nFWqvf8gQpwktQZtWP3oM0xzoF7T
8GTLuD3E6VT0z4VZcraPi07zd5MAm/zFoUcijXATDd+AYndxImbn2dlh+Evg5obf92wi/jiOvWyO
U1om5n6ZyjytezREpF8Klmblz8SJ5gkt5NEdrpHCD3SHqKp3tAVNPmui3daFwt0B8rCGE8yDyGdZ
dhnorhKdjq+553J4StqmS85u7Ba/jybeb6cSUFF2zNkm4k8xa0Tzjk9lq2vtbQRPxD4uZ/ShKAaQ
3xpmah7nONj4TDTT8iPIGs34vNAy54eYizHf2a0H57JytDD8AP10Yh6ncmU/QGvHxG5QpXHPfIsN
thI+bm7P6GhNuwPTk633oofB8aFpF40OlQjs6g+8mMvsrLQGJNk2kWHfOS97XbfDLGxfgXTaxIAD
ZWQ7z1LNdmddGkc7Ow9pUg0yOP2F2BJvsKNxm8DOcMNbdFE7m6rfonnYDxdLngqGdkE8TQ6NaXuq
jfuaxt4x8M/aAb6cQEGwR4RL7a8GSxgMT8lTVTPl6PjJT+AzwuBIKVieVUSE0J2dRZfsBw8+nWkq
Ptl8w34ftBvHqrc4pl2Fivc6/3DLSugbGBkGB4KAW035TuIplw+p7WL2gDjipnM/uFTRCr2fAz3K
MinFfl1bIkG0TWwR7h1wxahgbkA/lae48YgR0cnG+XkGBi2qgum66D2jAhBggI6XaDfHa1Luch9C
/2biQPrTaoMrj4sao2Y3ubTxDwR0rZc4mfvuParIqRdVJ6UtD3CNb+1dKZDBPHlUIYpDJjqcd7Zp
6ASdd8a3B9XGvajHYBJbZ9rkEfoWzNx0AHljBiXvbCwUmjGGzNqXbgMM/jTiyrh/GuF0103V6jMQ
buArXk3OACybkHK2z3SeouFb2m2FfGCSAC5dDVxJ/pPIImAmKFi2zfuxLbr1gF+29XuqRDZ/ZGLl
zd3cdj05o4mWycfFpIBi7bEdSbYDy4g0vwKskuFpPvOenuaxa1tom9HEhDlSwEfpjvfW65PuFYFm
OIWGON7PGtTDC4J8SN/jbxZva8Lt9lXCNB496WXKx6yeYL/Y1hH2p6beGr2971NmyakoNXpd6DBA
rKpWU0S114sF882MbkMDyZonNS4UCv6C16X0eXO+7U7RkGa4OeoaES0flArjcAfpLg+Iioaw/cCp
MQ8CHqlxnLxebmpIXBM+5eExxGWmZuzEwTfnosenh9EsAxHswWFDnp5Bv5jNGfzu0p42y0p6Obk3
Dk+AFsM4z5Utscpj+NW1YWnrqXPev5Jyk2UF0ljBDnmmsL+BsOt68xzbpJi+BTPrrK+kXTd69hmJ
t6cMs59/7ucNjBj8SDI2zwKlcfeuEBjEu5D2ZtsNZKH2hPM/0i0GN1XgXIc8dwB1CzsGfEzTrofV
iUh9zBNv1cuKMVvvph4KvOd+7XhXZz0f58+bzlP6RaW5LxRwvjCq1hgpItufAzxT4xe41mfltxHO
K+LrJCeRIr+CISKpVZ/2+UmBau4Rv/G4YGM1RYvHUSg3HB+I9mAZyyK65rsZJg2jh2w0j77DVd5n
dYxDvT+HZRIf8gXzey9iJ1ndbQH3Lyofsk80hS6iJr5o+hq5aJYDWTjmyzGVOWUrqMqxmp40nzha
jhPYdx502cvxkSjtIgmMcL5968fJbgeadNn6nAyxgf8u7lnLD1kxOH5YJUg5L1PKyediBuVlN2cN
SgFFF1n25Afd5IfY9C59xv0TGd5Jkc/hPumHacSGmWFtQBYPoVpxFDBRNY8AN5d6q4ssa188lC9R
vbFOre/m4CY0RKPvNXU1bAwbUedl0ulnMaPGVHHVymlPPPpq5QEtaoArN2QYdiZuUnyJjsvkMVv0
heTK5kvwU0Dty9u6LFaa7tQyxclSibD5T30h4ZpUBYXGvw8azW3krZ3Z+GCGBRFXzds+qpMernC+
xu6+VrljxH5KF9genFrmNM77fIsRphM08GpbeZJF9tzhFeLXZRxsXqeUTTvh+TIcxYal/oXGxq2H
NBcAVDtiYHmWZB0pdkRCiVnNJAmHEoeRs5WhTT8/LZBOlUMNZnIuH8Tc+OfCXwCowQRyPxeFiPcF
CDYgtSuEHDsTMmz7Tq5RexZsoPbDIhvQyAezJDXK0lP61cvGrXXjeHZCuAaspUAXzYhbt8psPT9x
q2GskaGvGoctqUOwpa5GwJDYzpo4PbWIBz45lZP7FlZKCgj3fpprnqSshWerTqtxzHp2V7jW/8zQ
/dM/plg66hj6GdzsKUrNS+xg8YoUiNiHlhVpQOyUZOZljTSU5HbLa4Y28keU0NGsDboogRs5Onkf
vSnSj6OL2r1IeyYqpTZ7vwpZPrcODvo7gWlc021xdcqb7pRlWQneeevv2mSTX3279u9LIk3dxexV
UqM+0r4cyqqN9QzZySKFmAAH70o3Vy2iXX/wwLv5E1vT9o0lm76zvS/KHaYzq1VYwnYYTE/vPOSL
2UcXFfn7VjqoFnapHfLo1Kh8dbJqMHMLtMl7Hv/sbOPtR0oZkPFrp7YCUs5kdX7XXfwAztJvAbYp
hUm8Bll3muYUeUxHxn7XsjWJ7tYkQ0Mz2qddfGd40pRPc7TN9rCizz9+C0ymrC59ttr7JdO0/YrI
VU17atMoPelOd9lDv60SNNZ2WGXlEm2KN7JIHT9PZCF6D5sGP8CSYGb8PEbAv3+JOFjCfU19R7td
PPfcVgvtEIqWdsm72kjEKK5qSESIrDz1S/djKyiZHtZtXMN3QKkcwiFuC4rZLbG2qK56NAz1e7jo
NOnRFLLrX7cEuf9+HDKiDjbHvrNDRtPm5+kiv9tPuUrJM5pqenoP/SxJdkm50fKcoG1q+6tDf4B6
XmZb6Lj2Zbvyu3maSQz0OqBeuJEKfSr9K1LjPEUWDMlmuJ9nOWNf4EPukketsCTfCySr7ougojxn
4G0jQVYu/5LMRERfFe60kCZvIwWlEEVoXmN2IFiqmmXF7j6bZdutqjXFJ4aefvsG4HtcfJ7nqUz7
Hc2nCOdVM9Bofc9c6Le2itI0J5W1jVF12RCZPs2h2PxfGdr95U/ToZttX/RA/b3zkm8lDAfoaF7A
eKZi2w8r3F2PZRel4wvDKsOOGBMzFdie+JajWMgHtO+fehJzdyKCi1jtsmAQAlSSMdbCBn5E/oGI
r59qv+pLLAKMi3WvvTWmdcdStMK8yTka18PYR7Y8z3O5UHyxUDqzm1K5rV9FSdGLxLgo56/WiWk9
6DZWUV2KJbnvprZh9YS7R/vg+z5r8UnyDs2AM6rstdHrhKB0YrCTeVsCXHJhBDA1D2ObTkfXbMW7
iaTeIjqgIehnL6WsDHiaFZrC2oWAL1b048G7gvq6BYJ0OQcyI0Hj5ZJXs3VjpCu7WDe/5onL+V8r
0CbFPog45jvmLudq1c5gTJwahNkPHay5MOtIoshd04Npeq9bP34qCwzCjlibJbKKO9wyv80y9BGi
VB9Hxy1gXh8RByT5ncUR0H9zjnRHpABJ+WWExXnOa1q2cfdOr5RzWEIninVLhUlGSV1gV/XI5iI0
zoWcJ91T0bs41AYL/qNIqNrLpmMDllqz3I0xKhiPqFcQ+lIMGxN3bjXld1RiPiP0sCkDUoVBAj6C
EZO+G9K2+Qo/i77btQqbYtcb8WhtjMgswGDEnWVe8FoHD+AIFPTxqcsNkY+TJbN8NM0y3y9aj/03
EJztr2gS87zblgifMdvyN7Fkl8sdUeBs3zL3xhBL2F0bJsTq0DXZrZIuVwc0K5es6rVrERtAtrAC
dldsqNdiJ5xR37H9k4OgH4jE4lLpQeO3eRMIxqqUQoF+Rim9nB/IVEzRC8kh4oMoKB/a9byytrUS
H2Xx8YyO7qbv9ltMij7f9wXrXtsJbPh9gkaB6a9tTcVaRxyVq6+wOwBB1tBizvYDT32Kqdml702H
fOToh36u0h4bqK7WxYBi16YL/1FQNadvxC18rb2aE2Q7eSbXrerXQkZfui5pvheX0ORUbOgy/+iZ
/mWFtBnC3XJKEMyqTCynEkyQoi6ZUb9GiiVbFUB21MCCxNlellnxd/FPkIBB8MUe/pZNhlQGUPXD
luYu/6zbqET/cVc2qAxGpYIz0qxhxbFDUKLcHWXj+EPKjSTY5zLeD29waiv7OjXckVNvM/8TqXMb
7o1Mm1+Ky1BSALr9mj4o7rLpY9TEjP5KgMygP5FaclRG+pY+lKMR2Dti7uu0TSb3Ysom12g1wt1S
1rI2fukixlDNRugR31MHQ9FDuRqW7jYbYrJf2TqvlVTL9h6eyEn2SZtyfY2ibP5UNHnyEdftNhzH
Bv0Wp2hEYrxJta17lhUw9A39qj9hzMX9kAjI2lgPQjY8TrLxPPKynGqqB+UqHTXiMzp1t2qi6JPR
OnPs3mw6esmZ2x5ZGXhxGBtYjOwl9dtxAlbimGgZnzNwjLHnDWR+42VL/bNuR3QPryv8fio6LY19
7xZYvH6FBweSs9m7jH9GaZjkFVs9xiF1fY9toSQJGRFx5Og/LmL7kW8MQSJBKaFtEWX0NII9bB6i
nYEMnu5p0aJu4sA/B6ckN6E7pjrWb7Bf78W7tBjRBL6BwPCuw4tUpFsTvdTYtr11lUFtjDxrwfOs
Jhqv83EcGzce+qnpeZ1muXbfL1rX8zhIpe63PA8Sf0NE8zuRZE4+kzZ3CNh8Rw5FoaPxBAll7l5R
ih722CaG4WAo7eddyleZQC4Hcut+dDE2EfjA3OFboBzRaDpqpNsOouXVe/tujni/1gNdEnkXRasK
R9iPhZ8RBTapkkBD3rdh3LB8mgLDIVy8F2W21NNk3R0ZEwScvBvuveb0HdTLEzoE4O+IOgeMGkiW
N5+jADn5oUCHjP+IOtO24iCa4+SnLUyb5mDgiIDywCwXPZwH3FB0X3mYZlXjS6HhvRAckTl2TLmq
mk+Nhn85zIvKR1ikFXldOqaX8zZmE3D14GaDXdqsrOiqiML28OBKclmEUb+2LeiKEzImbD5i14e5
dGeLpoyySsfNSixj3Hf9WnB2NmdtbNzuVjhqx1BiqjRL3sYMEdpudaXhdZ6tDL0+lnnx1jE4vexi
+M13nyUKGlmlhoXzj/EWsHu0UcSSO5YnitaqTGW6G1ENW+txWFHaqtCXt7W7Hn1c8XOmJ1O8AgjS
rZWHC7TeL76hY+XTkCGCKXVif0QGVIWKotWjfAXLZs2P3GuX/2D4Ue7TjACVPdA5kXmdyVykL7J1
MUyTNZIC3s1KvfNo4BeHtJ9j5SuKZvsVBUw+hBaJukXJAZN6Q1AIrnkzAUZdzs0jH+MunJMs3obH
UqNOWzFNHPzSNTe/Yko6/pSGZoAUpInFcFqKNUpf0KKWM6wpQ4LD/c/g9QH8RmcOEBdpVeNWhS7f
B6fmCIDEYItzJFFO+RxLdflCDInPLjGl7tH3hwRMPS2oH4oa/RV2Xip4DiXpfcxSiuSS2mg4ddBZ
rN9d6st51zDW2KPDfu12hmot9pKQYtqlINJYUU1GeX5ANijL+yaD/RrEl/KCBwMtbdz1vCu3u8bG
eVGjT6Qt6Q5ODDEWVNco3GfjKnRs79i6kYCYxershCLBiNv6CbFdhTpsIir05oV+N2EayEO2Lcn0
K++okBFyhySzpGoJTEz+0kJJ9HMJ3JBZHKYKcWJWR9KUR5bq1G9nkRSkeINntLIPDqn9pvHDu6zP
EINsZHymeSe3TxF+TRlVPLFkXA4XN2skpGsR1uxpuWTQ9000ig3BF/SyMJjyTds+e5XMSFbMQhgW
eCZQs8pr3LVQZKvxrMrhR+eRXUNO5XMV/zJ2jSYEAzlFwjRatNuuoNWM5m4ux6V4ptg8WoSKRR9+
Co7biK9970ZxyNpsiBxGV5MBsGRmutcM4T7WclrmGT1ohEbTL64z6orKJiXcml2eLcWHBPW5DvgX
1P/t99Jki3jT0TJGL2OLC5/X9ZKowrHAFzKt83WCrzHa5rSRZ65w74VJkmlyMDkSH7YHR3GZ7tGU
2lJXB9whjch0O5N3+S6mzBb3TuMm6QHRdcEeEBZl8/tB9sLc5S1x4zlaADP/SuK4iWt2idkOy6ii
pZJ56qKHMYbB02u0zEuHPQ429HWJyHjY+0UV5qmbLRpdFI3z9UOQUJHVRTzjkqcjcoDFjGkj+6Ng
s24+EDdj8x/AN+jXcBcF8LURssLXUJ6dbolHPAUGdZ3km11OfhxKcjKosrujFCzEb6gqUnrXCdwE
1jpWEADs0boZm2KHuRlQ27pU1KLDZNJ0qQlTfVRhzT0yPfsMd40U9hiHOIG0ejp0UYL7HjbgisdX
Eoi1ovLTpunO8JxmJ7stZTjpbIviAZZuqVtK1PRasNLGpUz6B5qYeX6jM1zVf+Xt/3F2Zs1xK2ea
/isOXze6sWUm0NF2xGCpvbiLonSDoCQK+77j189Tx55pW9O2J07oXByJZFWxCsj88l3tsbww2KZq
V4hkdJ/nGWomKGIni3EnIk59SKuqkOcoLqr8eXZ4Y86r6eT9SR+p1LlOvFaTyvF1Ew/ZqMr4tGSd
m3/ioJdGk6+PTMttkNVOCWxtk9GW6v7IzdxoPtkfcm0CeEDluLscafAtwlh9IcFQ7w3fdQnALMMS
KqgfjwxgHW/soLKme2CfrgCeEeNApTG7ueuzxduOucoVSb59gj2Jlt3Enbxzt01dOERL7Wxqkctg
J3XS68wbjeeYez2TstnnmWrFZStqTK6GudbDlzkdXUIr8pHokN0QN8uaeMYshYLjNBFd6W3vTL4E
2Oi/lhOR9Q81sQu9ubtFvRpgGougfd3pNnfKfLec5zxYy+7WKDf08k50kV0dbczl86GtmtEK4mlt
qovZk1MDRKrDt9Zrp8ZdCohveFpvGNoOjnJIg8KJXY6dTds3TEhWmVrvi6Lm/RxtcbY8EclgD2Dv
SdRtP6xKWPG3Jq/14qhbWB2POqhve8Wg3Q0vBZHUzDaVsJeLYWv9+nNtRdZc1jXWegC+xXT8zWUc
8cCXR7iVtO8R+7WDfR31sp/9YaU49NjxErJg3Ewz99HGSzhz274pGidn5yImvSsmmoE/6XMe99du
2IzqpKi9226ftorwOrjDSnV7r+zsGzCfZgWZcLSmJ6yV84zfV1ztZchknbNBspDejvlz18z3rtZN
lr9qmtFxszhth12iEbd30G2Aq5gkOuHe92oqNJzdqUp/jLf98YcacaoTbyDiY1u7q+HprHfFs9V1
5sC9F4uyHbzG6TH6AzFRFKUSPdUDyxQa8horbqM7M1HDvGMZJQtxKqp0+hiypVku9aZK8blbRmlz
eGmz8bSuals+O6pspvtbhqN16Msx8krCblqPaTS+geXNMrHnQmA+OOvqqlOf4DS4gygpyWBgNt6A
ttoc1EpQXGmL4R3jaut4GIvMOVxkk4PadW3yhEzCYCKaKGV+ylA2si/SsUF2ozs5kfuqGt1F3Fvp
8FnTvoq6th68FL+f7dUOOgLLh/vuxg+ApBjwFsBGH95BK7ZU8+TA+Jp5glV2AEMsatweHiH1nDt3
C/ZQyoGqxZbJFxzW69h540yJTbsvp0GkmT+35Iczh+pyEUbQWQlSjuDf+m4gnlcTzh6myhp8HUVQ
72nO0EY+QcnWJ4uf1s7TnMTN0U1u2G/M8XtpbmumHd3XZt+FoAXbiK5Vi7Tjv0Xjoi9rbxcHgrqX
JdBlVo/etibiHsKqGgMZYf7+fQqmX8vn5GpXZV31Rai7b5n9Iqffp2f+NVBIFNYEXcPjWumTA2iR
it9pofm1dK4m8NCNUqV2bJM6IJI76dee1br/Fx7efxBYBWXw9xpAoDBzQJEGM6Fx/7VJnQ7nctZq
YgT7rgFwMqeMWgDltubD0gPdcsDKNN2vtYXP6Z9LqG6qov9JbfSLsCyGollSrVO7mjbTIkjxEVwR
D7Y+8xr0I1ycc/znz/SPxFS/aEG7tudSQ1O8IxCgVc/DWkdj0MTMucHMzkQ6KYkkBVPpslb/4h3+
ByLLX9OJMvRh7Cam2EmHTo6B2JmwBWv+F7/QP3r0X9RnDY1+vUpcgXKk/JZ3xuvsNNHvs47ov8hD
GdPbsokjsVup/fCSbj2mY2H9zgf/RWE2GMZQ1aMUOzDoECI19SID5PGff8z/6F35RR4aLVM6CDeV
u1jXevb0KfKMhN3/9z367Vn/xsVp5o2FOoj3xdxKsnkHl5bJrX7+5w/+D65Q3fr7B5edUc7NknG5
JMo1f/RgSrOvy9WkV8gxy8ZrRtTYB3wlovld9XzWr4kwiRPPihghsaMOVXy2266/ywzg1X/+C/22
uP4Pd/eveTAqWy1godjelY6bgEC71TpDrvDnYzUG+WozefMvlW1Ucp822Uu2pS8GV5o4RH06JpxV
4iSknfHHMllUN3uDYiT7y6v7j+/Lf8Yf9cNfXkf/5//i79/rhsN+nAy//PXPL3XJf/91+5n/+z1/
/xN/3n/Ud+/lR//rN/3dz/C4f33e4H14/7u/hMzlw/o4fnTr00c/FsNvj88rvH3n/+8X//Dx26O8
rM3Hn/74/qNMq4BDT5d+H/741y8df/zpj4a42a7/42+f4K9fvf0Gf/rj/6p+JN37Hx669x8fffL/
/uTHez/86Y+O/e9KoiESrjANrPE3z8j8cfuKknwFHEIaLikcfBN3cEX1acJTu/9uSOkolFgEf99y
Avp6/O0L5r8D23Dk5+GkbbIW/p+X93ef0H9/Yn+oxvKhTquh51Fvi/V/X1DKvj0FULnhupQ5O+JX
v7MktG8yiCHYdWM898/J6Dgvm9KqJhC1K++pE3P6QDM4f1X6Uu9wX2R4gOlF+5u37a+v629fx418
+uWV8DI48LhQDJYtLee3V/o3KwKVLjLVVtcMa/L5XnNnHYFL3Og4xbTeUMLmXoi38TbuqTIC8Wvq
8eAUrhYa2SIO/FO604y83td5Un4VCWq5KgFhhI9KU1oQIvGgDyhIqPo1A+T6412SpVDLWSvy0OZk
9Jj0zNMpeTFHh8O6r7XaBlgaF1GodfkcWEKtYRXDkzORzW8GgChHJCkqeIHVPUuIs9VzTeSsGd+/
eihyjGMXyeW9Rvvij5l9x4lBO2C2EYW39YP1jmK7uAoLx7CHcZtcXbLszosc/BTo7ZtlDdsPI+/E
i8tFsEcRO52GfO4fUgQFmZcleQrJNNffsH30x1FO3X1iD8ZJrw0zkKhDd9K1hwfw4CiwK3MN9cw6
FXVzYExAbwRr/QmlUtGCDGETsVmt3owxchFv6uanhAaJ3ciEfcwqK/K2yTIvbRJrO75F3y8qkkE9
J92ht3X3EmvWfJyc24i7Fjuq3NaApsjxjAIvBemx47CZ2yZUI84pf2wra7eqWYQR1AFOUzm8iFZv
AjetrUDFbfKM3lS8qc2JWLAYdS1UxYemtzZ+tfZhy9fVK6U2X+Myz15G6hw+zzPcYMbx8mDatu51
tZmGLT2svrV104+2zJxQlnn1aFNLwh4ptfFK60Z3SmPLDgzgUgTaVztpD06lnZ02Yc9bNISkurqn
cj1ZPT2PDX/TQdPLygS9BWlXeeXuc5Jzvb6Xt+P8WhxkogVVtOV+z9Gtl/0DsTHSKxLOPGrELIoo
Nj1YE0E1JNohk8nz4S3N6Bep+qEGKIoHf6007Zva2iV0poqOMIH07xa1B6un4TC7iWgbeOPb/8kf
MSeJPeBb/HmDfqen1JjWa2zP0OBJbTzqcDYPYzkt93qjbX4LnBTMG6YGYLR79HCQ5uW47Zt4GB6L
Qsh9Udjboz1EMOeblvqlBUw6cQ56yNe0umfujUPLTEWIdEUeUSPbvkhaBCGVbvq0jjaHGtvga1FZ
Fp+mahEw5ghg3fKnxVkmNGa3fEEFDe7GETjgMUiQSlp5mBYMXAtiomMtBmdfVbEZWtXqksFVqtgv
NdcNu1h3/AUZWtDFVnrooLjCPF71heTEGqYO5a/YjRayJpYIyb3Wk6ajNQsceFWu5SFjLzytiYq8
0VrkPSpF62lamAqq/m5ptm3vTrW4OrW97rOimgJQdOMaO8m9yyITmo59r4+lXyRI3GK9Gs+TYaXf
17pLfpbxMvpuwVBvkJx1WRFO3G/Kat9iVv0D0gd56kjovlazPRy3ahI7jVyP+56X7bewr08xmoR3
s3HSk8wGcRjmcfze2UX7xMrswKXW3VezHTMwtiwCxZM41hvgrwqsPZb50bGFz6zT3RjMcVz3YmvL
OUBXBIreN+24o7V63onedZo78vznKsBqlV1H4Lsg6bRsl8XgCUntwJdTFp34BjzwEJitbmHyGieL
HhZrlsGURq9oj6J7G9n4hurIrU0PBRSfs8v5B7Wa4YyPKAZk4Zl63732bbP5uRHF93RzlCc2v+ka
WWheWNPWfb+O1Wley+RLY1TT5Dtxx32dTLAzi+XmZETNVeybyDCsS9Lk4nTrTLBDq3E/VpTm8bGp
qjacx6E6OUjS3myagA9bViPNnAgGgvdVcl/B6GxIxd3mZ1rnaxNGWzf8VL3Te9G0DW8lNoYDZYL3
VaJ9bpe5P1SabiDIR57tMDVuXlMYbnnjPAbu/83+AnUhKdNI4vqNmJACTebKE+izOkYzLOxaltUx
MaO5CP5iOOBQXzwgDp+MfRmhJTnKbJ3cS1MitPxAhtePT0ZW2s/kUljLbmi05r3nVniPIrN6rYtE
u+IxqBIvqtmgQ6Pj2Up3IzckQ2TOJhXZr/E0veWlq51XRyzRWafb1peoQKQvBmDHv3gXCIazTiDR
1tNfDAxkOYJTp6v8aaymeGIrJJ5yVlmRPQ59Xx+RyKTPI2e958TAlxHA/pribird9mdcIn0Jk1TJ
z1W7WN9RSazHAQxqv1I5epbr5Hy4pSKwPDL17KA5hrhEmY2vR2vn9pnMTXmtFt5Vkk/UfjJa27N7
rZVPeSTbL6Ut2yeKu6rntWzbAz6maRf3MWc/qElHehDay9XaIutgizQOVc/s8pu9d5hm9doneuHc
94REZacpf9JAgM4oInvPRnMf6nkdNX5GboX+uaYe7cssshEDaZMCwJQFRelhWo/iq4SMq+4ziJM6
HNJqy7weCWlYGFrXezR1GI9GZdUst1r8mMxifiu6xvhkabP1XA9GeXINsqNMa6nvo0KLP1XSReuE
mxQUduIhmLXmDO6mm4JiSWcE/eZwNpQNRu86GjQbwdMGSTF+NW81BM1i7iCutBtPHk2fusWosiDP
WqgOWeXL3ZqX5hBuyC0sb7tBaHSk1MshM+YxmOP4GPX18i1R2hzU3Zp8js2yvyorLlEuJIZflbbl
T7zBPu6Vg1ki2NHcxYGwWLb7kUamoGvdHm88yhtmMWe/LOjHWVTzEqaDBPZhOTdRpdlYleCdD6pH
t3Lq6yw5Mc5gKDLhsziKRPIFQXmCFLNhf9+7mTIe6LjY0K4TmZRvtexplLW6J35qJ7I13SN5omGl
FFUgacs+08K3hkm9xmVQ9V3/1kRy86JMrIi0TMKu0NayHVlovFuhebWhiEatt/h+2laxG2yuUTvp
nIvENuClcYcW2fYa+yPRj0tXvQGPv5OK5GUWgdDqrZtmy/SBcGH00Nl/Y76sd4MhGnDLZZ0+a8na
PhTouUIrj4o8KGzp3N1YnW2/Av7jeM7dPYElqOpyt7iVNtmHLI7lXlBBEnBII6EHoXbiOzDbnjGW
TbhEurE+9Itu1qe63gTqghJ/uUi0zpusIjunuZu/TGOUeCY8Cr07tN9kmFUepoTO3zBr6vVjMksI
1ries8/O4EZBpQlUOgjHleVnEA+NP6MnKMO6dEwU41WvZ5FHcwdb7W82IODf1M/SZsbfEJXxQSyz
fcRp1exk21WXChb7LptVazLf5q9LnVjmaYonLchmQ0UUsEdtccicrLo4pgMxYWziwK88+zdt4YEW
K+Pb2MfWgz2bPXN1v+rPrDYJ+ljK7ZsgWci7olU3LKdoOuX03XS5s7NQsoYMPXR/RFV8mYVATTMW
2vs2R7deXzloJyfL3mlfcFEZqkTz1s0sPsZKxfc5qyK7/1Di5gGpRfC0RmuQ23p1pRGI6U2b9NcG
SeYDG1x7pijGPruuBu1k40uyoVlwWtTRT4HoPMwNS90vIjUZoNWIHmpG7I7bQXvV5MYasi5RtPhu
U+n7vCn7UBWifdpmaUfeMpjWXRfprp+62/Iu8Mk8rqziezPWdIBxTBilURX+WPQf3Y2HRgHTBupW
rCQFHUia2IxAGPNd1DEUpLN1tviEwmzNFVIYvcZop+xQstHAqbdZWKaRuuKZSV6Nsbtrke7vIEb7
fQF8vPBbb8OlE3F+RpOuWEjMYjwg2WNwixPzqNtivTGiKHGK6lzUxSdplh9a5NwPk1Mjskpyv11y
fZcm1XzUUoediQTcWqnek8aw3RdtW36nAHS8r5m+oFCjmHafPDkA4M0nZXzLCfMYUL7tcisHMFzW
g6XZCWepbQ7WZC13BhsSIvp4TTIfR8MBZdvqRyZJF8lxScUpWSUa6vicb6m8xio2zpWDyjDP8Ej6
WyOaW3MTau+l/OHQr2B4/TS/EDPKEF3FtS+dtaFGKU8DMK38MV6ZaKMuts/OMNqPtlE6p0lvpnAw
MrwmmoN/j7v9PK43M4xVdwYjaKXfLkPhq5VLQ1u6IqCa8BChgNwj9TzhDNijjwwMJ9lDtHJNr/5c
iSJg6khPUPYZrZHZcu5MoQerZG/ytroej4YqjV2mZbDxtoDdKfPOJrpuOdhpe2h1ZojNnhxfmBLC
jb7iY7SVrH/TxEcdNbXmJ+WK0hX54TmJW/dNF429R9VtfEbcbPv0YBanZtnGwNCM+FpoAs/Q7E6H
bcrMr/D61meptuaJCTg7DiT2vOZVVB9p5dOejGkUT/nW5qyVAnWrXXXJpRuy5JrQlxHqDG3fDYJn
j47RWJlnD/UPi2IuT7OHy9JmZ3IgRLDq0Td9Ye+zVn8jQtUfU+0F0giqcp2k18xuf9DWQh0Xc3Sv
s5zdZ9wGQ1BhsvFrgwF2UpUVomN3UL42Fz2hgMJI60Dq2JUsm1OkXj5l05IzJ1TdOzCcHZT4ZHwM
Adqxt8wDegPtpFtpGVYEXGN8G/qTcvMngVxCOJX0TLu7q83Prb5cR+TvRFHtzEF+yZP5vpp144Al
7hkR3C7W0K2U3SHKjdu2JGMQWCQ0jIafu9h9K0sXk2n63gFs+EVHaU7sVBBWy1geXFxWHttMdSET
1eQ67uqj6+RnRyQl3hh7O8uOZG8lnOJQ5s7eXvPaz9GGHCK9upm0inhP+8yzboH7Oms1+ZRAL8GG
ICLn4qjlURccrgA68++WmdVICBRMfTpXMshG1kiMZoekzqxADIW+x3kY7epcReelQByKJLA/uPhB
I69qM3VJY0ptnEUFGwzwkXjPYp+qozEmZwonD/jOibUwUvGpadRw0Slh/pRmNi6YbhpcMkwIStzn
ZQnUm0erM/pONord1qfNqza7ReBYHFE2Cc5cbm5zRtYzPaPKf8iFji5E8P3oJaBAT0PZflQLLr4y
X7XSix0dSQM92nrjBC2w7w6IqTlmDpal1lrygM7a9bqZiFSlMvXvFr8fwvsxH3wFb/c2ak57nBAE
PSxjJXYRzjL4P9fraUsLp3bRd3Ia/NGKdNa8+s2Smv40YZnghLO462Op40El2Ed2u0FAq8/U3Xjz
rPPWw+sjAJndcNZw4XlwDJcS9i6QjZwvivTly2TV1zglrGozPvBIJuDf6uS6z4uew95YD2RFH8sh
/TbH48cad9Ly9KZmEDfbpfCEjNtDb3T1jm1TI3OpWILM1PSw1sr5bswn3F1KSw/sXAfEvgdD9ZAz
UzDrDuZGtzw4Ts0NpcqQ3fZDzuadVgl336vtIDTjLLBgesxau3aavozmHHc+QcH5sWU7eO4Mfb2z
ouTLaJnoiWvt1UpdcV9my/BOQmVz4OtelTO2KA4QR6vlNMaIoj0vrnWtLVIVs0X3Vd3IS2viMMyE
+cYCHiNRaMWrZZVGoCE+C5zVeC2VxA0hnc7f8GMyQ6Pszn2kCh+j3pvexNbsuQrPT06pqreW8meu
8CMn6bHMFz+Zy5cWu4+Xo7BJ2wlujg18R/kqRilrX1Trm9Y4NnePlofpHCGoK9CaPXPI7neFnV6z
COO2awwPc1cw6qEne0h661MGf+6rxUIIVujMi2TY75Rhjij6091CBKtvp2YBlGfYd8tC6LZTTFWQ
d1kUiEqGmHlD4rPrzhfGdLLzi+bq52ZOU27H6hmpuDdO1Slye/eQ9uOd3NylC/pxdIOxNsqXuK2X
N7caTugEScTiwOGVzXKQbbHsCTo0q7BY1vqYIkfbaQQDHDUjMQ95b0wP7TbFX+Pc6Hzu0HeO/C9W
V/jzg9l4aMF+KHCuF/QO9dFg9D0mIENhtUwXDb+dV+FK2OmLcg62WWScTcb7uARuGce6ebWMDM9u
to6xl2qOFRoNFthqmJDyN2tzMRWIGceGCIptk8/4FVOf8u7lWm/2ApZpyvYoZTYGnbakQeUupG6W
leeSScIHpcdYZKM0VNjhXK9trPTTJBb7jusspN/+Qhp/f0G7u3l1poN6HbFjOCE/22OQsLWjyUkx
rC19DXhO9b3ZIkrm3fnZjbLn0qyTvaopOEPSl79qFch3K7qHEWmdl6V6GuYosJGNaoQlsc8zJ6Oc
zRIbGUDRPCFSm7yNOWHdlI30Qmur49bkjd/O8xdRo+VeWcWPMo3ta6GbOYqXRAMiLvKm9YBvmJbn
xXIuijB+1H5kDqhAZHwfbrMpSCoyF7kpfiigLnRtK2FZMlsesz5ujSC/4eGurhAx4qfLTTP+jK81
v/QO5srKQjAQ9mkWoTaNbt7KaF2y/Yya7Cv2uWE/5Bb5xkyaDFT5GJQ2O3JKHEzmdeTzaawLKx43
V6gpvkxyPWPl0F4xvyHUa25W1V4zjBdXCNpK0EXl5ATUZXYhGiI+q6gxDnSD6IiE44qrsyq3xFtW
qe6UJVNEVX174EesUDfTgSgDy3xN3UIcYbLan33SMDpGdn+ZOw5MlWbpj2Yl4ntN1ta+TUg3xtrB
AEQ8mUGc9cjOOzWluOjTEHQMf5bhmlhfQSkubnerTyjN+ERYrPnCwl/dj9JK9lPcDhVKGao3kdlY
LWKOkiSGgkB09Bhtw9anNn+12wmYrR1BwurVTN4dyXqBMmHOP5mGcx1xmwJmztVD1tbSNxb7I3J1
65tuGXWCqNOKfkRFWr4whnzJXIHAM+8ezbF/Md18oqMTwGtEC0UgTIMQTPXnZdG5XAXAlyOr6bBo
W/XeiFQdHPyoPjyyHk41CuEYeDCI13x70Mdp8eERSESgTBbYDFcqt5YNQCfx25ZkqtRp1tw5uYXR
rV0UVanDp2lN0BaZHYXrKAQwA2EdNIW824Y4RYfbt19t0h8I8I/UvLfEaLf+aFuJ1wgONnH0gond
PTrubdwht0Q643lB7M2Ct2Sn1VQ/U8Z/AkrKIciBoFgJsM3603hLmCgwMfn9li/BOBjVRW7Rw6i2
BxlL9zHBAenTt9rs6sH8XiUOF6NIretSMht32c2NSDzP+82jQZKJ+9XFrXuQTYItSTg2RiNiNFAg
NhoUUZEd8WcYB3ZdjsbmKWVq+pQVhrhDqNYecM/Fp3FxtAMHO9REXfE4pFLzFoipnWqHi8Gg3jvD
RAA/qGQ4mVt/JPBRu5vW5WY5sV8SUmqDKi+hVzo0Qokmp2BEorhWBJPg1vQHw7rXtla/GErfPCci
XdVwYg7Fee6CDMn8PFTLk2F23JxdpbB+zsbJjNxnFBv2OamqZ52byNPFfEuocEOU4C91kd2t+B/8
RGLKWvDgGN6WG0r55JfoB1l1w85kwmEtBBq1w8GdWJNnlZOiQadlAgrQ2VzMMwknhmRBNtwOZ4mr
yR+1UKCW2B98BouNj1f0x5rLMFhvYSUcqfNmh142uw5JHz1027adVmIrr447FH7eZJ9ELB9ln7m7
EW+yzIxzgXzVAe3e26JnFFytR5e56JziVSLlPkjL7nUdszcx1QCteE78tlZIlB+jfkqCDYLluRNW
6ZtaXTxZet2d275G5x7L5FVgzzzk+FwD8gNqbKMOHiFDBW3S2CHF2Nq+HPBdjo8LXNM1npPslHGv
vZdLlEZ+oRrG7gHDKv4n7oC4EhdjNOHFWrvE7doMpxh5Y7AY3dGQrKeeLfBSYItlGkyZFrxMrWwn
ZREhNhW2DuQo6VprS5eP0SnNV71N7NsAhFLQWYrqG+E/A/cPGvYLD5qdsCV9GhwgqkIzdzXr29Vd
i0z5Gubx7xv1ZCH74fyYztt0jJsqTzwX3f8buazaC+d+AmC4lF+Xqpj8BYw9CfIx6e9ZF/qW39ou
vsrFnb6j1+NcB2jgTpBCeS7wJVYizUFv7fFVDH16P2kLt/Ga8yHAMc3JXYQUefW2IWXMLBrLfSkM
2R+Tpd5Yrjp9+jLrSnwaiZXHxqnAqapY1BVIpm3ju6vN4j5GyIjEqVhcPMTxLbdYIQ5vfNtU6aex
mLsjdBRjXDWa6Y4TtX1QpChunqwbjLoK2zwWv3l6y1T1PSlxagzr8J1juUbsT4pRVW/N7wUDH4Tb
BmDlaRmQSD/qznkyh5SVouZPgGOjv66yThgpdfFG8gP3El/W+6tmyf4blsgUXSttI7tmnMSPjIF8
hzZdHp0olldY1uVu7NBkC2r0jp2ch12TFuJxlDYrWqJiLpRW8emNibQOmhZ18E+YmchccG9IV+Ux
Kk4fvDvUpQy0qCgjSw/60j3JxYaGxDNNpZItND+LsuI6aHJ5BllLdmRCYYmeXJ3E47YcPBxMMuX2
y6Y4UEQbBMqIxLcaF/0U2oXennrigz6Zg2sEJqjsAa+bdV/MWt77KnJmqGjT8q1WMlXaNDVi02Hj
W9IdjOKe8lUigjbnvUow3DpYfR648Il11tzxWJu1ea9PybtLE1Tlpcy0CBynLzbpHn5vx22Y29sD
7jXEXk3popdFkhhhfvPlUG5Bu741KZneeutZZn0HI1jz863xKW7aYFrzDoOps73iNtEDEpO6cMzG
OVgWQ3lR0Z1Q8XLqUFt34BSY7HpLi57GBlOAGuXXJRqSNcwqp0WGOHXXzAH8IvZXPdl5RK5WhryX
EOtk2yVJFj3O1ZzuhkVbvlC3+EGklvBzN7Lvq64rX+mkYUXMyYhQrps+jthy9hMRO6XfuS0hTbAo
ciNRMXLPKbAkp448y16SUR+elAnhE5rUN05+aerpWbgrI0Hs2EYQW+zJIld+tFnL87LmxoGMqWlv
Ly4HNCSoMIiES9RQp9akwttOrTh4hMot0cojCPBQvemvy9h03jL2K2jKVNyIWSPICOQKsTm/cDJj
Shnsbu/UjXXN5oxMzLVIgzU3v8K/RWcGkexSME36ZcuBZk1LecZ4grsqy4pwhfu7FlkiPittCwk+
mXdZaq2HfhjUIW+a7txsRrpDD64/JagYCeliH/SGZiZLiqml3Q/VHD0n0yLvgCv5VTJIQdVW9hlq
2njgXUXGL+21uRrRKHzYtWrxkAubyCgaGojI/lA/17Wixwz2hTMgrNtyIjclJbJh4+oBS32JN3u8
t8bmQYu3oALNu7YkfRyxEWWuh7ewPscEduleq2PmDaBVyJNqCH92t/pnO0u6rWYJpUL81vijQDqw
G7QiOlhxwfPVfWPuDQaFMyLpQ0Hx5HtOhIMREuU4Ky8WVfrK5/t1NVsKxAER2Lrg1T2MrxzbliiQ
Wf+mE9qxT+wUYyHGNdF5NjAd4A78nR7YtoUrY7NGGc65hFLsjOlMwpf0nbYavwyrtT5kK/tj06rM
G5C4k2han1Ul+t5rpGCzgTNn/m/XJH0aUHwDF2dY9ayYFXqo9Qe4BhTzXL8lJjajEPkPmqzSl97t
1A8YOPciRuOUjpnVeJy38fs75txVrIVGgflPq980CNn7+n+zdybLkSvXlv0VfUDhmsPh6KaB6CNI
BvtmAiOTSfSdo8fX14or6ZUkezIrmdWkrGqgO1BaZjIj0PjZZ++1zUZfsS4mV4VprEVm1R+jD09i
RWiNCPpEWvjEuyD+hQbK5CEb6y6SBDExBhEZ9crijsX/RH6yhObQTkqcogIDOUgKFkyG3WDdMt5D
0oYfPrEgJ3CqQZxQn3nbDKmd/goRKxkTiFjurNFM93h2yKVWffOKMPSexMvXOFFYnvaOfrYkAZSk
sbHT8zpN3kiXLq/dDDOLp5CY96PmnM6s0TJNiRx3ADPLOvKTAfzeVN57c7EEYek5d7TuuhtZ5+Oe
qN+wBCh9HeDXqFJ0XBHLiUZSoRRajR2cG4ybfw44GbLEdnH1PRsvc6WTykTFiNpp7xlgT5bY8HZG
M8n7aznU2TXYvHY8jx4weRjBgtK/5tA+XXI7UnvZ0QATd6X13GRdhtcB1wrbHoGZw1DDru2v+riR
afM2lSO6k9CFx8KLWNaos3WV2JiJ3Ig3QVLOCO1DAjLQHAEakZY5C9BtQVdKTD7lQnSLgJ+brp3G
Ifrvtj+pmQCcqsKmx5KPnUFn+bKRlvnkou0HiTDJe/E03bDfLc5GLi/2UC7bK2BhJe3FvSW2Ai8x
maavIYdJv2q90btXLL81I9Li34rELB5Y0vqP0lDThQW28yW9uDwZs8NerRTDMdVwnIIoykkgVLH3
qGi9OmCKf2vRoa+sQL3cWMmUbXHS6B2vUvwuBMDuelk8YN7LzhNnrn1KZmatRu+lKXQMrq1JOEp6
U/rc4Ne5jFB8ppXoVfoyNQs7AsNbMDclA5Awa7kh9l8GZRYO15iFe2jjbBcXY3y0C4BYxEq9Y2rb
t3WYgeizCm9fVnN5QMsYgiWpC+6IaTwST1jul1Sjb2rXLcAMzuItBO95wy1hvRqO9eDp8Nmf6vES
66hcuyFTXKbbaA2FK14XU3ofsydMcEPtledy//j+fJrTGuU1n8rbrBp0UOrsYHGcvS+J1+1Hhqiz
PxewrRierJva9as9ut8vr62flJhPUcTCyDPsY9kULG0E/fD7NJzEW0zcaNvmhb+zlSqezd7lwdWx
kz6UaXk0K6c/oQngCVH2tE5M2bzkxMdvPPyylLZJIhiaRTU4OgcUEH6lJmhIRW6jJkr30kiwdVSQ
lgrREKzMOgSAqZ+lWNURe9lYifyexzRsEFby04Y3R7VlJylOvRx+19pE62kjXKvJiLSXs4q85bll
B/i/5iN+AnKIfjQ9DV003XplOO793lsesFjmmyUJkaR8s3xoOFw80I0gN1Fc1O9zPqSQOPppOE2F
ACTjm96PM1nhy9BmBF0XhlIU6bDJuPMXkFIUX7yWST6v66RCNYgrY52VMtvYBNIOKdi0QxG78t5M
nOTWKluE8oV2XuK+VndBG4h/5SP75FVSl0SpESKxO5jOaXZa9WZm48TzbGlRDSf71C8zdSdzNuX4
thL2CbbyfzWhr8h5mtEvRELOEOlVirKa9D5hCC8YBHr76HVvVynoVYS4slaQCLv3JXTkC+pG8o4/
bblD27A2kR8a8HH99HdsKPNhBn50GMMqfwrTMN6wFmC8h/y0svzafbSFKXZx39gBtMn4YYhYnwe1
6vNjR9/3D2nq4bHk9cpiZg7vGr+xbbwTebEvulRtDBCGx76wrC1FqmwVWq8Ulzyfx3dkFueGlVW+
8SoAI1zyqr1jY6Aei54B3Kjm7DGrjK+01WDVNe9PgEJHqJ0t6xxb30XNZH7aMEk2TM44MMqqE7wT
EwNjEHSTrgFB2WZEB5FnhgeSbxwA5djrdU5TyXbRCBl16o9B7UvzR6ZeeMKhAx+b5KZmrg37+OJw
OCB6PIXHouI+HHVDG/vEqM/ojFrANko+jFUbPqS+X20ijABPZZg88nblzGMzS/P6JflYuC67tDg7
tVk+PTtjvOznjiyBMnLc1pJj7Zozcvbqp/WMGG2E8dugQG+uKDMfkR3Qt0lssRcyQNZuXWGpUyud
5bOsE2fnxWzv2q6AdsnIGRA15XXFru8RNQzqmO1e3X1X7b0WffuDuWYO6Cy2HxcSlYdh7nNyanNL
jDrxj3U2OmgabGK4VZtVpzDIQ+l00RVmxwCUiWzOZckGu5huCQLcF4vZ4Yzrhm3vh94WNxlnzigx
diWrm8d2AF0UDa29FwpIadCCSbQZKmfvZ4GrxJtiKZ8z3OScBVtrm+QOnAUqYG912us7FbbZMSZC
ygiPUXCVucrjIzd/88Axbgaa0rqNA6jTWNl5zjPof+AVS9MrcmcbD6NtBrlX/babKtxMdpi/590c
sULBMvzs5Ow/6AMYLkMZpgBl2uGWVLjAiVRihs0GmGSxSsu/YpL/XzbCs6pgOXyNr/x7N3wQx59d
l7TRp/5nL/z/+s3/ZYind1YJ2/MsFnKk4f9uiPfEH9K2fd9xhTIFb3B+5W+GeKn+MIU0he8Lrm/X
uUKc/26Jd//gkuCd4yiT3+riLf8PPPFw3f7Fiu7AjlVYC6UnfZz2/1pXLsJ0yPjftHXJz8vtZLY6
GNuUMXr2S0qerHpp043OTPi1QxTOKco9kZI1bpHJWHVOp4LRd+S5HIncV+xHcJ1AyTrbrps/Zslo
PNlINgeqiYeLU5TxiQcH47e2aaWnltPfuFYNDLFs4+/B8mBBoQ158bqLrXgfTk7+skQwOIIQVPsp
Mkv2erF0EMTHcL53pqrA0rY8gjG67teZaXjKklmkxIkzlD6B2isDAFpCbueq77MgnDAAB24+G+MO
am5zm1QzXtA+X8RjaCf5m0X51yNiAEYsIdOvxpujmzlvCiRnAwBXVPn2xxQrF0NHrz9HhovAN7MD
ewxSPZB/SOanZgYKFrWM/Fub39VLlm5K/PqrUk6nSADnN2kDChJLy60p8igAFlmvMYWZX9App4Jn
fh+SWvGSDB+6k32NsFemVRbl/ndU4bGTTmohbrpM9WQ7acldR5KdW2eLceNb2ZVflZBNTSN5ZHo2
AiZwFXROypGgQoVMSiK5rpySjAU3rO48LQWO7KkpN7FaMmtNhtO96Z0x/UxKVfwWEifPThNfJoNb
Di1ttvSnnhecf4jkmIshx1GBEfjXgwqh9ahb4ZLnZS7Bad103ugfJ7+s31FS2y4ADDeLlTMldJNZ
LoA1+MHxW5EXrJSIGsV7aFwG0IHrTgjNE2wgFNOmBIaGA2ZVhdrnwEbEcc+82X8TsIejiOQy7XFW
+JBHXBDCMnLYltUwAlau5WU1S0Kzfe6UJS8Zq/pz6LCXYOFUfUbCitOV05WNf+oiLsUAWb7+1TBd
vrc+xvI1G4kEqG6q6w8TlbleLRhmsx3tDfrRdC3/opQJihU3iH9OMR1dirhpGkZEEH4B5kJ9z3pj
emE3V+hVWAjjd19zyF57pqnflJsVX8wo1Q5cGb9eSX98okqdk0/UFd4EyRxL/n6UV5/XYDBOdKA4
OIDKcWd0E/JnPI4vPpnqBxvo5sHCq8l9mzV7qFQG3owahv2K4Uasm8imMT1kL/cVcXNdf2uYg8jU
ed7sRdKmeoMLxjsMduJcMMrgOJAqn8Rr1HC+R6C1SFU0FebxkBq4lddX/NSwMTEPW42IVi3UNxM5
xIv2Sxvj1gkdELxyeR+jaUNvBIfD0fpVDb6XBCJL9Rfv8Cv9yFTT+zSk5bq5GiaJpY9P09jX55iN
EmqYkkcEEwRdO+r4ZYaBTTNP7etCmDxeR22nMKyPwHqnrjqyeoB4bcGOCiCdlFuY7viGJi/cz3O8
4+deNhVcgmAYJ+zcVqx3PU4/XK5u+AJbrgjKzoIVAdvbCQyzZ+k+g/BrSCoXzTpeSrhzCDXCDIqR
Nc1GhplCsY+b5HcKH/MZ9Fh8EpmJ+7bpLAREQ8kRIoVvmttGWhpKZtP07wUxC80twti6yhLMTqul
sJtLjV41b4kbEHgpFsyXpgECsyNpxZzfO/1t01zjIHMJi7zDj/rWCjekcqb8zoqBdXKpeU4POSCH
2M9iIJ69YcPf9ptn0cn0BhQCAW4/noZXFUb6jKkhfjcHXNCgJ4plw0bAbrlgQyC3BbiRBK4QC2SA
n/k+KrpfornK2l45VEdeJXYWRGnefCsDENLK0D3ns7IbxxvM+iQ7fDua7XVrphjljLaHkKZgfniI
No3j7ns/jz3G8Mi01hnM6t/gl6suGCcXuQxqWKSGgvOlbo6hQxaj4JMSDBhsJThOU2W3k63VxnsA
T3KrEqcT+2KB2hGkkXWlO+QOPJqMPSZKlC9UC0RZAzAbZ+8oukquzbYFXuMtEw8nH48HW9cCQ0qS
TOt8bJr3xG0Jvte+5913tZYvNBCE3HSAZ7FfVfLZ10Pzxhrdw4iZRxB9XPTslQch5K7uvPLOgavy
3MyEZnhsOFw+botmsJ2R6Yp1mww3s9shsqpJRS8+He/Feqpc80c0wvRO/ISxtXYGO5er2Ju9927y
RMULSrY33Ld2sQ+VZMTXo+088WzSZ3zq8N/CSm4JmtGqFmI6DyaDndUq52gdB8Dsza3RVMkZ7Iz7
OqdXFFE1FXcZ7vAglwAIfCjjF4IfKJWLabLhJa6Cmtq89JEA9MGacW3O/XstXOupqwd14cAt1z0G
xD2wMPHUiMr4je9qClcykiSkrco6pCJ1MeglKnwqRORe3Cp5qiCfXsJqhgkxl+4VYpFmFyOVwFRV
XfUBSAEbBDVIj3iTiLKc0V/NLA5mN8V0HebedL0Scqv+TJiIt0TKo2uUmSA2idpxDy3QPXQRR4ch
H5dfOSjANVtJKp/gWcV3xDXaM5gGd1OPTvKRdPqdwPKym3p/2oV0o4FTLpLPsJ/pLPHG7MFzxxJ5
y8YpNMTltjFGDynTwzJQjg1clz5GbJZtK/WNaxfFB0rJkq88U07eRuSZSUJMC3XII4DUATKPOvRx
0j01y1iRvtDxjZ8JCpjamY4kN0pB+lVQe0WrrJ3iARRU7IeebF4t90xVVgSZBKr86grJ2WDebT8X
mJ1oFRYpJp4I8WGowhhxepCPQqEhm72fDisSjO5ZRIPzaNlYuYNcZeZubC25S73Ju50XyEensr06
gnwR5zdO6uaf9eyH7/2cZQ+da/o/usmhtXEN4MujVc9mPEXDG/l/tFEHdtSXOXxwhfXCtviKV4SS
Q+A4Hb7zTlXzq1ygHNSkUi4Z9OWOEIRL9bfVmtanw/YHFm4axS8MTLHeQpesjFuMb/FJRemyBmMT
hjsrxiWDXbufxwPwvLbad/hYXweDO7IskuGBOB0SPXiMu1HGsgk6u+1IQBk8HhzM0TunyLt3fATV
vYZ+glcx6pNj3xBDhLrJvcr2LsWtZs1n7TQQfQ2k7HsOsGOzgkkfv4F2wnuVjwNYRpXF1pNIp+YV
WaG++G0KpMbRy63XO9GABUupaW03mm9U62QhVFO435XC6ozoLedbYwjL45/WaY3haQg0kivxDtf5
tSxeBzBOq/kT8wKbh7YojQ1LheGLITCFt2JhdUJ38TF6L+P9kHXQl//8VzbKZZmCjePdH9wnK+0w
ri+jjbGzshTbxLK+eICGmXdB9Wb5A7ThZD3lUXv2i1hxz4aKC1ANzLlE8aChzzVGVEvyxYekU19r
NuXEpsCBZAFh3SJhfelZLym8mLNvVtWDX1XOw1A49Q3DS35uozl/M65WgMDB4Pwrm5d4t2QkCgOW
C/DhPAdDUZt304eXzGI+VrjM5n3mmwMjcikhAmJ+mPcd1P5fYR7pXVgKXEnQrDhcRrVbV2j8nn9b
NtGyN3lz/TbM1vkdRaHuN0OakWXBJ+DptUORCrutwaILW1Y+liofjg+b9vRtMQwkNfygFjChyufd
Fg8vZubHD3Ta5ITI+uWyJFb32/rz5asxRK744MkKjlH4gHu7/Zrwlt1A1qufWNGfzIboA2HDwfmE
jUG2cVRejPsHcqGPT2Xu6bYCv+tl7rgWRFYQ64ju8j3nMLlWolRZtu/7dMHRcWXvtWxIobP30n6j
FKGZVn3TQQAW9AqyAxL1L2U03X6sdHJTscG9J/3fvGo0uu+2sf09RCcT3r1AeJ5A3B1wSMA3NtEb
iTyW9HsavlqMQ1Y2Ys/GemJHYYHLsee4+6BvTtFVoLv+jEeTRELmeJ2HObRNz4wEyd7Ro9zXZFiw
t0Pa3ZhEkR/sGXM2AiQVLGurLpaGlS92/kCwG8BXV7XHokhDZzVMnOXWoI+qC7nsZU9m63q6sfqU
3Eib7j27xKIwIu0/RFyZ+xHTwZdXLcXHdcru+BusIl8jEhqPotf9pchN/ZpNzXwguIDhh4TbHNhW
uAQ1CSV+ZRAcMYjsnVqBS6/yI5I9iRVXYVDlAFqLKtcxK4okupNVwT8hy2pXcT+k6X1PrFN3lmNx
uxQIZnl6MahqwEpAQ0SgF9s+RTHI7BVzpXhK7dB/wK2ybBTVgCrI5x77S9pAe8dRZ7XHNsFAu3YW
peiFIFDLCrIRSGtlYjCaxun1pZwU9l53LV8Nx3hRIJAPIJGOHW+kzyRz2KiVSdgStSB9jkpIAkit
4462J9YVOOSWsWOLnQGeHjATuThcReZsKEuKEdlwq2v2P990TrHamSZAmRwjieW4fay9ALNOcvDR
j35PUYZvV2c8SYwo9O8bzD3PhX2dKSBQ52u8xzOeEM9E1+pN61w4HbEqMZT7AVQ9DMk5bra44qYX
sGBS7ApisAejGcIPPCxJEyzOkt+UPjLawdJ6iV7dfgLcBEeIFfCf6sz/aZnqhs1P1VY/3b8CG/6J
8bD7v4fqYPkSWenf61irJP7U/whz+Otv+Jt25f1hCZ6uAr/4nzQHyCV/hTl41h84SRjPwTPYVMn+
A8xBun/YUuBVNhGVHEkLxX9pV8ha/A6IuZD6bMtF3/pPtCvP+VeMghSIamQslM2qgD+Sf+k/glWa
gfMckWtrV4emekojtay55MojvNZ2jV+63w1N8R5nxcR94nmc7IvijEO2RwXmP2pXkn4FrKmy1zSO
E572i3Nj+iUtaSCGYrzxgH/ZbWjH4QQzsoAdAeWdw4wowSpDlThk/uzsIhzkrz4B8p+lcrvXGIoq
JipLdneOa0wXllGwbVthBKqBx4gtXR4nPciHvh2bk2rL6jibLXswfM6HCCAuo580rps0nh6numvT
U5rz2l/h3SifsiRcxCFLlHHifI0ab6t04NzuDA4lVEX4PFUpUC7bsE+OXw0fsIPwZqQGJOCgcefk
BSC4eA7tecS7ZkX82VaFRZ3QHYmEKF/ktx+FEMKpZauOuoVCCqyCVi5KP9QqBbF4FkUKNldXPivD
yi3odXAsfW/UdNrg8Uzme5qM0u1AhcZN6als4NHTxxmqnF2ws+rm/geDmPEApz0EcJ2E42dtUkeF
qZDdO2mtubmNpwzCRCO8ot6GrmKBHsUkl9plng8OOymcVPjTSWuwzCNdRXVY71ZnerXsQ2qaOCcK
BW22wDOxl72N53CyfuLuGt92Yry9hPWV3qdGxja48kVP2r4TfLtx78tstXh4IOiXyXCsUA02d6Le
tq7JzqgS7nawLP09d3mS8GmE/a4nvPSrzszx3ewG58hOOzrZcVvdk7qSzyOpoRsw86nNsoFX4Nau
RWpsJkzvOPUVi/TATR37yLp43uPC8llllfUGUAe+WLtSxXEeSpd2w3Q82l0n7he7dk9Waowb0yG9
i10zfyqYmR6VUPDpK4krPFkM4ogM6YKqFBsLjiCUe1eT9OXIlnndja0962w3pAeEaUiquEKiWH27
SLTHkY8U7CTeKtPwWcNF/WitMn+YziHMlEIs4Yevy+xoZEq9u2yBT64xIxFILfmYKtO/ZWVXiZXt
liTP66Gxq6BsvSvsz0/ZTnECcJetGY6Yxrx2sQ4tgVyWck4rN8k86AejwnvvzelGjImxtuvmoyZB
Dh+lKtbYwIyXRukJu1J1FFNvbN0+rNb2rO46hM8JtWRb+LgPQ61ewzjZFL1st1XlanAqbnxWwhvx
xTS/iDc3t4WjHxtd//hJGwahBaHWB4JY123QLWq8K+A9uHat6Cy51r1IB3sx7767kFHPD9DmJ2c7
wkREu+J8S8Z2YlytWuZJWguZccj9HJklglFYCFhU75A4XLrijH/L2XAbDs+8+8obg6FrpYmq7nIF
4fK+c0ATrGiN0t5qEUY8ohVN3kfP2xYjC8BzbJBdFP/CMypodvAk6daKoi//iKYRxzur58PBJZwb
NGp4Iz8kv4lwUWVFDEQTDHaDXGkHP3n03Ow7scp+25ug+K+4Fi6LbtqBSVY7MSixwflGrZPGID6M
BHGLCCICbUNh+Ozy0QZ9BwNzrGEZw6ws9JrQGJ4bRG0cMGnXb2krWG5wgYhHL9XLh2c2ZHtkoocT
TH2CdtTXXULphVug/MlPTS6lwxRro50tnZi3I9viDSSZEY0MDZTuyAEVAiPgvskQlzlKZ8l+DhOw
uPQ3oZu1rrzRDmUVVuYne+J/aKxS21wOM/GMEJJhUVfdJlfl8Cg4Mb4ZtDce3aKZAROnuHdbztdX
NER7SalDHIDXqf4rwnvKAtnfL5F9Yi87nzuR5W9aRi3OA6RnpprHvh4yCDJe9jDT13Dn0L12J42s
2HnouZemPNdJdyiGYQbOA6YHaNDw7PvWsAWwCDQnndzmgO3YuBVtKeqTxdV0N4LTPRPAAAueQXY9
gh5/D32/e3eNLHtpkr664WPO7otsUR8deZuMZJiYiGSQabmLYgIjMR1dKarM0pKEI/Q/kpUOWg6g
xBiXclmPYZ9slN+f8nlRyD8D4hmbjpM2BuDdfs5Xt4xZvs2XYnkMlw6hn7B09uoBq9jMNbw9hkfr
6OYUr133KHXQOmn6TZEe6c6h50sqIIA/5lRNbPvr3+0miXXpwAhugdrMe2nWzi9zjOedE0Y8+jAU
z4FV5iV0X3O6ztos7c8uLqVriCTfDSOv+1o3oKM5vWLUHh9iv7WjVWdEyOg0+Bz8ZY6ooIzrIAnD
/NUo+wXx35PnhQVDtjKJdB9rhRUoKGPLPLAD+Cacna2p38y+6PNuss1CSuaZEz29iIqjR7n2G+2e
p9pLb6TXzqiXPFsJL35SG5FwGWfpLZCK6M7Cu0FQYAnRBYuRwioEG+CYlFNZxmaOyuqe5Z7ZHcYm
WZ5Q+yVes4qOTNFqB4hINjxPqfmte0LxO873lCREGFxdv41+u30XbUsH/xQoclx5gAkJ5qjRn1gY
W/IFe9H45PKo+QwZrXjoAmKkkzNjpFy5qV0/u3Oa/6ZXCy4R25l1ESdQ/qGUvseplM5ep5jcuqYm
IMBDdIqAzngVNv4FO9mbH0Zf15Qkt5Z3akiDbgrJUEEt0r5szEex8D3PaTUeZ9CppAyalYCNClJl
XDDa1LOkEIabZN/7iX2aytR5HLAhrdCGUaFKv4NDlXLowOPWfqGV3ZLO5osCYneQtWHvGrhTctVA
cFnTb5OvS1uO91HINU11Ba/WAhRCzTvlmRo9usyJl6JUm/qSu2p6zujGuGr69irLSwd3TY5rvrKN
JyKem0nNaDRCevdjS0+eJoHIVJikr+ZMleWgi36jh7L+LnWa7UZCEZuI49aeYhj/DTTvfBeaTvU9
tHLaYlIamVgpD3nU1/gypDEOJrLdUwsSn+OqhwYzxM2HX1KZM2E9+nExuAZ1aN/VUienAq7EsZSN
+TWX858OdU/SRje0hFHmwUhOOaBkamjx8fyEoRjPC5ZWFJzCoCzM0TxIGOu/qKmTBDFbtqXQ/3dj
MSYXZ+YcRZ2kv3U7k9xM6tY34K8QepKyCMxQOaumnb4LZ4G4VTe3vWd1JBvrdj2btOp6HRswgt+s
IzsUvrkfzxw6k3Xql+ouHyQp3ZrHOrqfIjSREQBPznMHh4+6jNr078g7ttui6q5lilHiPlR1TSix
qYW5jRvjxDORlhDErfipaHiurqp5KlkSjX3KMcJvlpPrgOIFP2U8eGK2xDttJ557HMIWIpJT00cO
Bk79cMiq+h0hCvOFl1Szm0b8z649Rs1xKRrOftrL/G+SOaxjFsbNj1YNBONy26XPp19uRGvcUJhu
P3CYnI+pj4/KEi0ZM534nOauWUWvSJOZ6laTyXskr/GExhvtixazR5mDoGDqPll27dzyROg2dhMV
Z4fdLH0WgJzeCMZaZ1kYIMg4Zy63uvMwtNWicd9zTtaPlZb6zP1q95y9KLTRzTzcZwY1fuSdCJ8g
CWMGqh3W8rD8lVhjMDI1wY0yf2QrKYklAzp6J0BRnK2W4tOAvLJ9a1WcUCjjwjvFYZWFeRw51YXs
lO2gLrZoMSisCfiiRkfLJlrQ8kku1/GrYI100nXdEQEQyjhGLkcMYFyHKsuL20HYTr7u2uJGDo57
70VCWRzALIIGKWrCN+UY5ldU9x5wj8x9J0TRHzzPxx+MxR8ZmeY6hP2wBOgLecGzfGDkU0koBys4
7KLRe6LWj34sTax5M3kuYZPu2mHZ2DvEiZzm7xpXqIHBLZjTUO94an3i3ukA01EgEHsq3uUebIkp
6XaxjC6ysX8ac4j2YVkZhykNIbpgwBR1fKXr3LI+8FeDUxfrHErZoxg1Ij8e211o52wrBH2DCOc7
4zpiYHvc80EsAZUhZcXZkJ8EckX5I0hNrpPI2EuHRQVfRMISnFdOArxv7Vfxq69HMqhx9NTRpMOq
Kno2OHYgsg3kntLujumcSuHRu7Fk26zZFu+tBDmHYeTLCK1zZqeUxthXaDfAZnwUHyy08BQwmtkt
9PWOJts1bX8zi4S4O7Bdxuk+IkzZTrisw6RguY+BKsgwuq2TASySw+onGHO9pZSLlrDpsxga8rfx
ntadeF2p8m7p3ewyWuw7nVgswOQWtUMr9jGh+iYJ8FnTbe1L65hS1/gQ1l62U1SbBFFDd3IjcF2s
WNJh86qB4S2wyjiUGvOwm0wbKkiIOySgNnC2MDv2HvC4vNNnZNI0AQ/C5+tpwEnZZMA6s9SwVwa7
2t6U/VublviH4zhnYEk7opYTaxR8FHIY7nORFvHGiWr/JVfF9IndPjy1Dmr4XrPL40Bjv0VjDWWq
ozMK3BgQ9wlIgpk8OHU0EUiyLAD7k5hWvDjYgcOAfqSKpL7uOpUjdkaWt0fMOR1nUI/mKpgX9StM
9Edr5lIUnfdElah94gFDr15Se/spp2qzpk6hcXCj0bzLjrT14QiI4bdkjyQ5nQrvFiOLt2fGKhE4
RZ2/zx4LJ6xsTbqqdDh8cGclQWLXdDgVRbwrEAJ3EwWkGxuY00FSv0NSWk77zkMlWHnswzaJ1PWJ
fnUEhmvo4SVC+3+vqBvesTrtqath7/DscXBRmFyLfIIzRPr9/6tv/ztMVfozWF6x75PKtFHKTIn9
6t+LcevPbwirn+X3X24/MZb9Zf85/M6Tv0Be/cv6s/gs//wl3Hz/qNf9t3/FX+U71/oD9Vcq/yqQ
0ZRyZXX/jcUq/gCFamMts1xLKMeD0vp365nAX2aZ7Kg5DEuuZaCwf7OeSfGHUMrhz+Ofc/0jvf9E
vjOtK1X5H3msV0scUFfTMlkX2a7PD/FP8h31cGmEDL7h4NbP1Q2J2W20jWHUX8tzcSlzpW9F+2A9
E6Tx+2BJn9uGLFfxGk7dOgkNUBn0uGbFhx9iFqJrk/LcqySAX3MgExG2xSH2vuYJabxmOuyT1378
IIa9MWb0ALE8XuOzo5zvsIJsLeNYez9ICxxnnKdB3kbfcXk1R3CWwbs13kCloxT7p+AMmWneohBU
TQfnV4dNWZjw4sr1jNsqZ5QpHEKyztQHE0oYtVXCSfU2NTsa6Pv8doo/qJJfOeX4JfzyuUXWgSgT
8+JwKRu2QPe1bhqo8leX3zneQEUkW76VyebJIqKRx5xkCLq58oK/go5MbD+W3opZ7q8HyIwVGfu2
szXB3Gnr+q7t0b8YhNe9YdD9hU+ZxdpUp+kKk9Zv8s4kAhr1jiy142sic03vKFkUkiBbCOfbWc2B
7iBuOHiMs5aEQnfpHOvWDK1fmetc8C4A/5/pLaAM6GVK5ufKWLay8DeRYvBMiYdRr+RS9zLwp0Zx
comKumelSuKHHp3bhpaJdLr5h9vmv0Hsmua/SsPX+064QrgmMDkXzfmfr61sENC9KoMg8VI8686o
AqXayzTY+5jnLwJ2s85dB8gswc76zi6mnW2qE56rfj0La0BJQJ8KQx+cQb6nTGOb9Nc3NDNLH1oX
a6i202Q/WkCLMNq168ZKTk15Inix03V5MuetyUMZE9IK3t69ncd7FjcbjTrW8RVi9flR2n6ws3eD
j/maFkt0sY3SbBtRBqZ1t25Ga12l7dnz3bWcqnWkjX29iAuOcSRIdZlh0ToquplYKPpTsSvi7inF
fc0luVv8ozI/HPt/sncm221jadZ9lf8BCrFwcS+64U8SbERKoiTKkj3Bki0Lfd/j6WvDdkTYjkxH
xVo1qEFOcpAOiRQJXHzNOfv0RIN2V5U13+gFAyitCHi82rAJXa5KNjfbso9ODmywKt1h6VyZmfMx
a5lDMl8JBlxandboDB7m0zy2nuP4L1MJR4HOPOMXYj7CNKKJ6Yrj4gkiw02cX4y6JvVQ7RsxXPLx
w8z48VgSt7KOWVG9r3zZrbSQrXAsvbAUOyvmEgEZtgXbvK8YrC65ZauetiqYiNAgosvcuK3sjtVQ
UfjOH359mRgLef2HE4irBEWXZI9g6IRr/0SsnwsQMfWQ+55VJJ8DrXuimwN+JT5UTMfmvr4Sdn1f
+Yy/u/42aGoMEeNNhKhBJGTctpVNRebGm7gpDyzyb0MDH2XU3jfITtnGJWeyjt9KM/+bq1vJn69u
ONo21zcHOA8YoTs/xRI0JSq2XsS+V9k1zDaKL3YS65lR60ggwqpOmXihsdqxDyStwNqTXZXBg+le
DHs7ljlkCSLpsUHiaagGNqS2zTULibYwIvzJsUHVmt5MUQ82BChAOp6juHsoNfE4S1w8tfGKmPAh
U5BFsZBtirBmZhbRudVWW1CrOxyNvfGmdyxP0NtqJ7R/LRcjera0ZF7T9+cBjkLJxGeF0+46hDO0
tSz3AyHogtFdf7FEettD6F11ZvnGIjj0gO1cUEm8ueGCao2sN0tLHxg1PWeY1Wv4gFtTvJVptAtH
oqlz3kFQHWqKmhkJKcKpd0MmdhIx6squPw4hzqvIWRXZ4DVEjuigR/pwHSXmU14im4joCfzRy8z2
Wteic9Py9Ch1g4Wnu9cEPTAEv6e4bh8rxkAgt57npHoMohGvFiO1vgOgSh6qhC9ZEQlqVvkDwvy9
HsxwYjD/6eVDGrZXnYHSy+B+j02slc4ZX+ehwDWFYmBjpM5DJgyiPgmK7nTXcwU0PcROQahv+epP
uki9oR94ykRP6Vjte7vzWhstznStF6fWn71mYUG6KQAARHHNc8z4zpLrBCZj2B0BwDCs9J9qPsLd
ZAeQEH1UijnjymT2woH1RC3btyQMGTZb505XTBbj91U202BReu8NwIw4CBVMbYulV5zZd0VASI1W
VUgRB2yEZX+OsDpWqepXmvEWOdnB19wnhbOPMLRXB8I2QvJ8RfTiKec2XIElPrdVskcstI2L8iEb
rHumukdlTMMGx8+qmomo1VCtMtmgneq2TTxsmNXiyE+e8QzuUW/vs47FXQLQduW32aMM8+egMU9j
Ld+lLdYw03qGGnwZs671uKoPlW+/zYY84ozBtNp0MKxFcMQ8BO2nhXtQB3h5TDWfCL2jeC/YClBe
2LX+opo59RCA3xdyekmqcMmSaonOY1wD9JJcaXc61woAyQxfzy6XaULkackB+sg7y8YQ34oR9Wh8
QbTy3BndUcddCInUXWl5Cm1J7pl7b0ZdP2ckLiWm/y5DceXUybpW7r3VaddB8n6uoF9gbXERfjV9
dCfp+MjCeafi8m2OELDyiY0jpK1JPhlVtCva+VCL6t7XPvaJ8+bO+ocxGMloHbeoxT7FygBVYffr
wDTvffdzxtgEGofSbmrnphQYSm7zDt5cdK61xSOILlLe98zm2th5zEZaaqqOAnJEzkCoR8RqxJ+T
aNrlAwjr5tl2L1gAsVGqlUxZu4RsOt93wQOAgR3gq5Wj7haZdNAM90VncLlo17F+PxoRcSLzSffx
f04oynhGkcByIADGVJmXfNFnA9OzbnEEutBXMls+txgBrIn7OjGeHfecwb+20ztSroCiJ+FT5S98
9sjcBFDHCL3KujecveusdD+OUqakrzYftdLakw+3TyLx2g8xOAwXin5SuJupSgJGU8OGzmzVuoVz
AFEPzgNd0cYJsndgMwJSyyb1qpEVBjXN2RS4Q7ZDMR/RsV9gFUKXi8XFTbT3xTQ9Fcl8mcf4PPuE
3PdlHTECl+oQEIHrEfyZe7ZFtBFgi0/gTnbObO9b1rWIFeu17lBOIT950FQFeEQvvQH5ahYPLy3i
5w6qhzX4gk0NEjfLZj7YX7lD+JnMgQuqfFYFsbGP4ynYFA2lCeruxPNtqA8Gqva4by+pBFgiaIln
dcJ4/5boKcmHWNitKygYG1Gw4BxKTl91Df7whiDTHYpwkuB8GWzRsUFOHExtM1RuhEUBkHOjCKpL
E5x4/xXOvpHaHWVaabqMpBj4UYFdIj17Rg5C+gHeTK4G/16G4orPJvJ8d0LiUvrTCgDnQrbrEE1p
C54xsx7+t5rWRXXyR+LH/430DuQZv/Qr/f+mecm+7xu//sDXRtG1fqMLM/CxSkIybHcJAvmm83B/
Y2XK77YUC2Tjy7/83ijav+E/MlHUWksL50jyPH5vFLEvGWR2OBiXzEXoIf5Jo2h9yZT6s0xzFm0H
iSKLnoRESl5raSS/i8soQnvQQ62Rez9kTLfSRw19e0cHEu90bD053r85PTsRknaw0tLJ17BUW2SL
uCXIqm3tvlnVdMg1LptWMH/SqXxkZnYF2KnO51SclLZ3EHZ7BmqTz5NYqOoa1uMrZaYdYkMALGvl
9tEBe4sXm3lzVlFu3LmNAAYB8REihpafRkxAhybwAWka6sFRLJL5BKedjnRyU0C+vo4b3MhOuYnR
w3umxd4sy9Z22XWbuaYQgyeer4zFRTnXTrG1oV5tiL0mIsCECFtU7rUfaLSaWhPs1EwbKaKIrMbU
2cTwmKG2N+62MOUr7k9zPfTNJ9DVDnheSp22MammRn86AE9u72bXHa6SSA9f3crq0aiJ5ioX7Ys9
agygbJ12tSsJuXJ5Taqtz35vi5u2Gl/nDpolCWx4mmPtxqrQ7MfzR4aFBy2Qmzbzn8ZKHkF6nBT+
e9QeV5kSuyjUAbvblfZJIaze+qN8TdNy16hFSIP0AVNQsTYGeQlcFGtQvGbPROlCmElRULjGT2lo
jtQ39jMd7CmuBcmL9mZosF9F3Vh5boAc2+k09JcD8kiWKMgMiwlKu9oRb4GDIm3PSV2i4J3HJmOt
DclzKNVHOnZWYayM72ZpGbdTZ4LCJuv0A3HlhAow3A0+Gb6F6BqHyRlXAUsTMahPdd1pu7SrnNss
C1BkjNb0Vrst9ZqKMNcQFTkfwSIPpzpMbnVRLg0fk1YU0CSqBhpb0YYxO46z9rVMMKbh+LwXlXtF
CcFGJhAU07NWy1sIA7hXUuecFDhTBmu+d8LiLrEZQQaDfZ6zaDiYfRoR/NpaGN8T3zhTR1WbyJw+
pWY8bh0t/ZDJrr9GXnzQDJxuq95oknvb7kj2AJ98HHUH2pAFfDpm+5cvmboMfqdjm9i3QlPmfRs0
jTjZNiJPiHG5oMKbtAiuJJm13bbNABZQlg0BGmZ32f3FPX/sJi0V911sddiRrY6oc0/NGKB2LEQt
/mBU//c1CwHESZJum8wFmQMXt2ad+NC+4glUAhAKmIXgwYMJHEYWWKHCtzd+6g8QCmMBd6TT8nBc
5UENuk9TUdbuOyKa23VoJA2JNwkB4E+gyVFrcj877bxJMpSLjM4LZ2302FluyM2lnnCoQKejT2M0
bB1g0DQFAHOowVkbFIcEMUXxVuLWYawRg7djLEVw8ToAo2Xhqva/ZJW6TuBNbgDSKGA5UuxCSQzX
qjDhsngtxJxw62ea07wWRh9m60I45J0INpaLkAlboW4E01M+cMe4bQx0LKidaUNVzqyXjJyw2EOE
TsEw9xpCePzwS7h6kRJPhAecD4t08lXdK6/jbTwmsc4d0lJSGRE8wiTOswcMN+3nwa8KBXMVWTuA
3UgkZ6uIs3g7MwdyvKxFjHMTJhgvjmjOw13Qj/D2MTqBzmTQOcvNFCBx2lFk2+JgVXWbfmIt20Vb
105g8RqZ4zPX6QU+btdGcTZ24T0+Ut1jKcwLdmWyaQV0aPqs0O4Okz+izqhgR5LZfWVphvEhsaJw
EYW2LwNGSMW8a6yuO5L+gEw5c3zIRkziDigpVFZYHa3mErf2JWzHZyePx02TV9N7xxwq8IBheidj
wbEXBcTc5DkqKdsutn3fOO8Dgx5/JVs1fxD6/DpYHTR2vcvfETe/KenftQbvRFb37dHi99aYBPHw
suoYhz47tXWfyJ2r+XyioL8XgjkZiKsUitXtVKfC08IRcRg7hpaocZvuxjMI2R2OnNrv+laNBDSG
VftA25TKez9FE7tNbRsKG1k3SHQXq9kEBG28N1MY6vuU2m7TYykhMcgW4SuUUlKwhyhrwg1mgehS
FxBIP0AxaOurGZQxMKg+amiZEJiLCJ0FLIaPYxj7VMVcy9SkgYUePSgXLVYDnXts+jOFdXSrNKRn
PZ3UtSO7uynp1MEPrRgbo07DlWJu12bdBgiUju8JNC7vSk3HotYTNHWhI5rY6dRZeu5xA3zMEZfu
u2QeDj56QGatnZO9WH4k7jSIPfgHWvd2bFk5QU2PnY8BJv2nNEriipwdfIi0oJ2PabeVzpuTztWp
ZPf85mOE7+iuCju9kKWBAx8FWr02pBWGLPb1OKXXtEhIQG6m3yR9b90XhbCeSKmMd1EfMQNhM22l
J0GkB6fCFHpa7tYXxmMlFpuE0GTDdoq3nhiJ56EyYPVXKsQWaGZkB8CjYeEUjbAzCL2U10HaaNk1
jFN1YapVZae8HJ0EEHGByCuItD72cNU4GMYC6azjBqcRc7rCuLJEol4LAm7vrMRwLnqRp6c8AlQE
Tsq3H9NamB/mjidINHGqruxsCp6tXtPvjFFQGqdTClJ2gsvrGLa19yF5eSIwBRx0oz30ykB4GSjw
K2Y36BpnRFEj0qrrDNm1NikU3e7cPI6h0G6At4BqGoMGOaTFPBnitMY6aXHE5AOnZMWwqGZSvQZ6
NqVemGK1bMigJgpZysa8q+M+fc6agIuuCAK50N97X6Ltd0kmcXOy58HMda0PPN/Q6j1meZ5/VYAv
9g78lDbdsp0MjTtNn5B9I18FvMCyE795I23So0u4D8FmGNKAXZqWIEeMHNAiu6DGZniKcs2a1n0+
9HcCcG5wpcrZ1E8DwjNcAITPOig+Fm/KSJjyHGtTd+9XbNDe+YSHjCRuYNXGU4s5XvfyhFveBfhJ
coTVXyeE1e2GtnIv/phZdxgYB1AvPue+NVYR0/ZZ7l3TGTelETF8j43sVs4gQuANOTuSrxi0ouOA
Mxk386nxldOuctBux0g2fAslAFZG301ff8IJg8MZkDHlg9RvmmkAGFn79zo3/LpuIt9rLchODUO/
Z0d01REZQvAYNxWb3GbAHKmXVnBRZkDyFNVNzjdcQAaenKo8gVVhIyuZxbt7OIkOX2vZmnLtIytr
z8sU59ZpbAkbP5SPasBUvEOdO+CKsBKO5ay1EJWxLcgOWHnk4yT6iK+ZzOPAc6euexhlPJQHMTl4
dow5eOUxx2Hp408cV8T6ymCPhMz3mOAb6Hwz9zhBxTnPqjhXthh3BDYS4uCWzA7z2TyRvuGgAzCP
jHqgbRntJUAsIFZ41o8DsRAvPDDYedhG+loiuNtVSSWq7SAZq2DP8vMVrUz1GgQ5JVhh+ocg1Yd9
ir4k2pZjaKPCjOpYeHoj1baStr6IfXgQ7ABrBv61GZIx1hQDYKthJBImUcAQKkJfP5XN9KmtNEBB
rYgQfxa6YSI6lIvoA6IOy5RfT6Z/HEz/teP5Ke1UgmjXC+JmDqpIESRKtvtXOSHXl3/+Mo6SLosd
5KqG+dMcuZ+zvPB9bTjYI2NwuF5BvEYKCd7g16+zbFt+bOCW71cwyNbpCOnnfmzghKsZLYzV7jB3
efcSL094q53pCILJSZkwakn0Oe0BvKxUmxnO37y6sXxaP7+8LaWtXGQirvXznxnhWNOIg2oPqo7K
LbDZ9sFwMmtLECAatqFJ75wKLjKYhOl9MhWwWagmet29zFQX6kuZQeh2uhQeOXO33TyeRxsbtiUr
WDA6/smS6TbT15U2ROltU9ccVYU9+6syDgsWK+7p15/nX/8gOmHMtgaLRccgzPLHz5Oxa2inRVce
ZgLbAbkmUYBtpogG3evYs/GMD1DUfF3iM8v41/mZf31Ryc5BCeFQmVrsH3580RpVrOqxBfGiwXyS
NubtrAV4FFxF9lS9/Pov/HE3vNwAvNgXAAqUek4nVtfft/yBKw3mXhlKSaLJPZOVw5ho20wf27/5
q/56p0kuS5M8UJshhzSXf/9utmBkjSgLzJFkFRMtdatEiYcqyAUirF//ReJffH4kj9NFUiYaLHB+
+tICPBuxOZvpoVUQskLG1Bu0T2FwYvohu01ioPnZuTCRXB55Q3ObDB2LPkfA71xKvu5L9VeiYNq0
defPe5x51If1l1rx12/1L5+JQLEAeobBDh+LuWS4fv+ZBJoK2rpwogPjf90+lE7XsucdaZb+8etI
bnvzCwTHlO5Pn71VhQ1uyS485D7NwKYGlRltFvfJ1ZfX+Y/56/I3kb463yNqju++lSU3+IdY33WI
3iT6C8boj5/8JiWxfnMc3WBDutDuvgpGvklJiPXlDNLp/qTpyiW899uAUKIkYTlJeK9ypHQdxdf7
bUDIPy1ZvAwI+f4Fl5n1TwaEYrke/zzfbVBNAJF0BpW8CxQqi8jm++uVzQ3AiixGQg7M7DGDrP1M
cRFco59FQBi79fgehMRHH7XkZ6eW+YehawD3EtTReaoZCs/uQfLapuY+AywtrnqoAEQZRemrmQbd
038uxv+JFkp8vaT+RgD1b1ROf/7wt+vR+A0VEv8v8if24OrPibW9SJuk5egMavHRsNT/44JEv8S/
YEpHDmIIgyvvjwuSf8K+C/+Klbq1SLXUP7kg3eXp9P0F+VXZxCAbGhhHqP7TBVnWWoXzSygPDPYb
mswbuzZ3peVeYh/YlU4Fmk429bHmXwgbuitnCytVsOvcD+HAuJmsxSOj7ndJZ+1KNFAC5U58grl5
1Q40LXbqEY54HQ76u8qQuwRfAD3PLgYfrZfgGXxQ2Uj+SMbsYAwO/CzukzSu96pKD4kl76zavGH4
vBsqdad8cQO32LCCj2MQQilxPSetHhytfJhH31tWxipkcJnpxK98nNOHCW9PnM07E2ORrYZru3QO
HUJnUaqbXI3vSqnWZZufKcO8cpp2UIhXrMoJR/QvtI+MaX11aaxgXw/xbeYrUiVCFwCLWe9nXGEU
ocQTBPYeReIiAOvxCrsXXPzPseIjC3S1k751oBbHKtJ+0lpJ7Ep2UhCevzsGz1+/rf/3fVz48iX9
5UukymJhwHUG/eTHUwUek9GEaNo9At42AUFZYHFOwVDdmtN0a9fs30Ki4ZLZ9jQEPD3fzK/fwBf1
yQ9v4IuGCUuFaXHGycVj+/2xFlWAMFyD7k9jdVeWaHW6mvAOZpP9ZJpeEhrgBBNrRzEAsmV+1+cR
tj5haocMMubKXn2GLluTNVVba8ZV0RaYekaYxHwa03rfVQkcB7bwBx19WzYj9WHZkW3Y1ZI8A4W3
WTkDGgPp0pSn1rKmB1XqymM1AnEkXZhaszFIRGUXN4zzHXKgHSlXYs2998QC8OjbjJDi7phXYXVV
MFs5/vOD9H/m1/63/9X/wUXet5OODukXOtHPaRh9v8z784e+HY829mx3sWUzlftmz/7jce3Qh5E9
zzZNOobDVf/7Qs/hGW/zELcEGz9AhTzKf1/oOb8p3VjwgBZ+a36j8Y+Oxx+Le65lRlLUEpS5CORo
yn5qB6PcLMkFNKpdVC8yeMRd7aXrg+E57Nv+Vo7DpdNq7T6XLaFPYRqWDA0QD5qlAHZpDnH6npzA
/gUkc3TwE7djRW6Z63kGoCFU28LcjMy70aI65tcTNsaE4hywgPgcW9ZHnv0W8FBX8ypGedgIGEWU
7uBfMEiAeIZL+iQx3pIYxeADdyyIEj9JzlNBGmCR9kCQ4SeM0hreydjSSZqnzQtCt9u4SVs8FIX7
PGoxntEhKHAAAACxNGCDsOBB2xtGtGmakrXFVD3omQy9sAH9K8vWvS/pgjdd11YPKlOa1wTkqqPC
I3OtJik78hPoNro7PBnTaO6JckA/AdiVaLUg/OhYGcg52KEfO1y3F4J+M3JYfZwJysJYoXppY9fJ
RohjJDyJD0TrUf8os4OT4binAa4zibszwLw1Q6Xxg2TAVDKWMSHCVKrX3xeCpDgd9kvM4JgoNjYN
5rXZwjLHmpI471gyNcewEsyegDiW5EQhzxm+9vH/KeP/pozHWWxxC/378+DykkUpmvHX7vtD4duP
fT0RgI0CakBjwl7eoRZfero/TgQKKVb7FjLIHyt4IX+jEaeq1hkR8QTktv/9RHB+o96mSUQXYNMh
cjD8oxPhp0ctz1jKMf7H5NUW1sSPT7q6koCTRqv2mGOceUiBUNKqD6Q1B9BVcAS3yZVio7rvGsJh
vvuk/sVjngPspxd3UAlbpmvwmSy6d+snESg3hR4Pdpl6YuHQ+K0F+ojEjWUlMq5w1LSrOY2NU0RQ
z45QjujUFkL/lLPp81yGipkXtjQRK5hl4INNTO/jPJrHvAbstyQ6XVW1S6BI3bhopxtn09UMhZGY
z6CNUAJu/Lq072Bgmcl1mQFHrCzrIsl2XtuIsm56ey4wrIyDuFWFSPVNZzVEKWbLDoJkx8Js521q
cYDAC27kjQ3N5yL0ikF6mcl5QV0ZJxyr2sUmfY7HfeHeDhIdos3QBf2Ynu8iTZse46hSiEkRWImY
FPkwtbqdgbXySHgX6HTYeASxKkUmQK3hCFx4lMmeUatxss2K0L9aQx8N2sUsqA98rSp3ypb+LojY
DNWaz763CCfnA6VfjATRKI176YoAr/AXs37LVpRh/7SfeiTP7aJ1HhDUZXeZDPrPmT/p73O1DLp0
k3XNWp9zftQ1BtYzAJQSIPdD9pDL5qmrNNPrIeBhAmuPDtEcLlymfRDXzb4HObOLK+2DhZzyGqU2
Se8p2gHgSg3B6AnLyegI5nJs93M2kodTVuBE6iQ59kBZdykk1p3hBGjt4sopTjmPuEOYjtle9uFw
CWQRg8YkjSCqO4IDGgcWecfX3YhEf8F3SgxiXoIZcKFM7xLCm7OpGk4uk7ttUtblNSPsXWHYJKoA
1V7EuY2zF7A/PMi9rrkZ206cpmjA1JyZmY1mdPCJqNJSvn62N1u3K5GLAS8Fj2W4W/Y/8wZ7T/Nk
BcJ5spNEvy7jkmsaBzsufLlqluucCLR0XdFDXcuJKru3igh0VdeirCgaT+ojmRKZW5qroGLLzjfY
XGxjTt2VCVTjwQkacniIjzFFAXVUYxeZFKiMV00TDR9ip5NiW9KK0Tl0el4Rj9OTQhuCy062ap7p
C+RgKFJcoghyWm7Lj7ny2/sl5BWtSNymu4noqIdB+vbnGcDEgz007mPbNka1msJO+xBHxnhibqcu
MmHIAEdxrOwbFSYuYbcjPf3G700E9vRP1Q5QTYxTQSdgeTUmVQBFMwmGj+U0RjC5sEAvshKk3w7+
7t2MbAeHlsCQ5s5W/LEhNO08ZDH++qBj7RgZJuEI1QH3t7l30uFtbjX8VfU4bBNiEN6Cwi5foxGO
1RSY0XUFAeUw15QbpBYjeQ0q2d8A5SiPuhmV3NSjaEGoGwgwfcmeDATGRkNzADljGMJ10ECDSvSK
vWgkmuZ6FnXoQcitnySrYy/tBoHEfzZf/LnPtx0wxzc6U+EN+ZDf5xj5HzA3ipcsmK2z6OZu54c+
H+HoNI+sgeBO9I1+ascgew5js3pHTq58ZOSiDmGDXrosp5Ywz6RPhjVuvmFXgjVG7Jqn6D0jlrn1
p5QkzuAYyjqACROnjno0iqgYPJOfRMnn7/x4CjEt053v1aR3s0d0TDHvjUGb0XNG8eSBk4X6Ecpp
5ZpzhqCpq8HSELQD9dckT3HVwCPB7Ir29IUrbSR21Q9xDY62S/CKFnEaI1hg6xsSLh1v7RKU5EbK
LvM6u7LdEyy97GoGbtZsKwCIpO9ohnPwK0d8gJXjnknf6A8VSNUnyIg10ketH4h6J0xJ83y/57bp
I81/CS34+AjL3OEI4nR418V5ax98/Nv+pgI5dyeqOG3WQpKj56MIf0E7UN4A22iMqzBzXK/XpveI
jnIDJQUfTN6n2kOOkPZz5U/9AYpl6GHtwTqJc5IV6NRPbbXBwJ0/c/HPgZfNPQJ3wBgkNyV+i36q
MyH0UkT31oDyFTwcWs+Klk4NpXg/lr3c9G2YiG2GBkutrK5q32v50GCCZ2n9lKlSf64iBOA62QKf
oq411lLNLr6LGVcReMBbECLuayPn4gaqmhvvpNmS2SKIM5yBi/rFbgow1sBvxYRZkVBQrIPSlhdC
OK1wNShu+lWhWpIF4po3AKsC8WwWEmi/IvqG1UmQxBmW4yYpS85MHGOIfUkE3hV4VDAWkIQCZdeS
M1omlKak3VkFDgNjee4wkyze8ejxgw2oERti5tiXj0nUor6qSefjKyOvICbnRpFScCIligde4OYU
s5XdXvVFD/07DaUGmLogP6Xymw6iErdDqRFnJZLJPBMnjrDARVR8GyMmuBGK/IugMvJTNtUDp+kc
HjO3GnZki5K4YoNRQZGIjQ7qE5Dhe412i45Dn8E5KCgqy41O+CJKDTI7dNd5jRk1BOtuilzyoliw
vNWT7tzOoLiLtd6O2rbRIduu3aIFlK16tYEI295pCfzl1hrP4SDcezgYwTvRmvhEDWiiPlKWbFWS
/bBS0BzXoe3WpyYMwtvGbrhtDUtTj2lR9Z/6KUq4ZyJ8JIYeEAIhQkuf10hF9RXdW30Nk/0ECMlL
654Hclc1O6UXRKPaRnjpx3i46eeSHw5VldwYhSbOaZTKGzWyQcekpkX3I9yi1aRa/Rj6kzeTjL2k
Rd13Gko/rQANSE22jfRFqiDlJ0V8Ejq3+jaZAtTAE3ZdtOy8Hj9obXs/s68ACRSAJC0DuXYZblUp
B2YVoFfOQ1i4GO8aITP2KcooEPCVxZFoLueZp9ywTDGSiTqIQugNyN98MzXlmB6cCAqkZcSI1jvJ
mmY19Lwh/LQZEjMjUUBnsdF97ibonDtca+2nzgnraYteClJgX5fl3u4N/QRggsy0ykmjEhM8KHKO
VsSiK1dk/nDII6vkVweLDwbhXP6g1FQdm6mduzVml8ah5DN5HpZd1D21ZmM8DZWeenbgzBmP0JFY
uxboE0Bvx1ERUz0dXmiZ2Heq9od3AppesK5IRboKsPOyqSb8IvLqRi8eARE0ULhhLrV8pK57rppy
voE92+/r3AadpvnuHjtofCsDy3kem6TW16Po0mIDa3YsD/4YqYQ3bfFOeg7wch24QApXgKrqz25i
oG3rwUdJnujx9AAxDpU/FTv0wxzesLnXIc+f0HmHDRSUojiFcVa+tXbAy6DjG5F8FglbZx/+a7rG
LsohFjFRa074k1Jy6DMF+LPGoZWvU9QloBUDjVyWQB+dfANImm+9nGY+oBjuT7ohz6s1t+YUGg99
7dfaVefbge7FvWGgfreq3tkKAYHBwQd91fV26lD26CMVsEX8uZhUclUidoTTQFd0KefBeLJD3Xri
po77K3SH8piJcFwIHJBfe46Kx4m9YX4crQR7ph4N1bCC5mXKjRO5NSVrOZbHmQ3+CwoxQNO+NiNG
sHXKKG8w8iZaG3QO/bbVra5e85249VWIrvApJc/nXU2qT3Saw9ZyDmY7BIcUL+qWaCPts44L7CrB
tob2k6fKYUKeZq4LcCrPclA6XotEa5/4tstrJeY4Xc8Ze3CTw3zvN6lxnFUAud/021NWxGm0Nv0C
hTV/ugefGc/taKnxpgRHTRRjGKDtiymPOgRylXlpdYOp3t/0Y2IZ/nw/9aTLZKttsa+nUxVKLcOj
7xayudG1XRqp1vMJRzgUbfARSslDJcpn6WYPBAbzYGVizBwFSlvcz3e/7geXqe7PL2/pOhtoU6BE
0n+a+iY+ut9k0Fqv9htISDMjFj789Ovs8t/u0r90tD+/zDKAk0LndUz3p6ZzaubeGGYFpzZo6Qn7
DumZDXKYxPFwdsA9EfNsoErKw1cgRZqxIawiJe4MrvWzGCfzMIE1OoGraO8TNsbXy0fGREc3brSh
nJ4NY6EfJRZ8wI7nYntm21742y8f1X/mMX8zj7ERJ4Ar/e66+stWdVe8fD+K+eMnvo1n4WAuMhQh
GLb+4LfAsm+ZmOJtQQANW6hlTPNtPCvM37gdLJc07sWcz7bqj2GMUExuFyMo/g0GcYud/x9kwvyo
U2Bnxhtj+rvcAdjQUOz8eAMaNo8JMx0GDzlQsRoJdtr6MVWhEGGx0rJ4/Lqd/7f3ws/T4K+vxwtC
8URzsKzyvr/hQeg3iYVOy5sVLT4H0hsVBfLXQRv/5mwx5M+HC69lOqx0mD5LlA0/p910Fqs/GYao
cYVOhEFm4hZDIisO9H/ldeIH/XU3YytJjTbfBExuXolV6s/EpCSHzFXUVCyexJU+UYdi92uWh6Ib
1E+KPOMBXSL5TxYd91WnGw3egtn0142wsS7Go0PaUzanhBwM+O41v5Mry0nEJWO+228Z0FbiSLqp
fo5g/aNDjWYfKrqtPrdWWHiNQ97p2mnS7q3D/vIZWRxUGnrmTeGn89mtKJBXbQX4rOo7gGNd29/F
1qwd6e71fl8p4uBXUMN5K53Nc4Vt/8wcJ6xmG6dsamPNdyZ4x1qg2btylox4M5CgZKG7BHisGlVT
TEm7r9+yWKuv7MY62AHXg+hxp2h2fson67LELZcbUgH8qznQ5iNdcn4ex/Q0hqjIla/jK4zKZy0L
QYPpxl2s5nyXQ6efxo4cRZe5TVXW1Vq6Wn2aGPyvaYJ6QkswsqWC1IiNZjnM0gBqekIbgVBOzXPk
doD/RpXgyosIYLU1hzQz+6bN43ibNuBJw6RcS1hyHgt+pkP5RK67cUeU5qoxtPup6jemsP+bvTNb
ktvYsuwXoQyTY3gFEFPGlDMz+QJLMpOYAYdjxtfXClnfbon3mtT1XnqQiRSTEYEA3P2cs/fauOmM
Od15yNci4gIPJqygsJAWL6+Yd+lG8qvOMzofQ85/3Do0OhB/6OU+Zzf28ibt9MixeXHTqfRo9PSH
aWCGNkB1Co06+UjM4lzVDDBuo9YJzXVgdExD7Vrbodt6aAqFdZArWlg3YZCdPiGJTkJ9Nj/FEJ+M
wj207NBhaVT4iWZwkxNNMLOzHgBXzmFTGZ+5U20t2gRk7PQ7S89/6aZTbIpYvQl+McbexbLyXxyQ
TlWf3CVAS9lmaASMafuUKGenCY7Ry8gxvdj1Folzpco2Eg1rSE4AadVt3LbJKbfsScfAFHfXtheX
jEzVeqS1NFn2zPGvPOr+/OUQchMVs3K2nBkxX800pnzqrmDsJ3/DGfuGWa1R8vqQbQbbu5hLmlys
eP6Rxt23OTFvjAZO9SSCZqETkwNuJaclJ7MN7VscNBqdNNNtyP5F80moN7AzyiFHmW8EivABkLlD
XKe0m7IfMSzL/BY6QJ/UDXu3CYiaIMOYfgpROqZ2IHxkjBQQrJAv9iHlgBzGzbQEWlnicK94UIFn
rc84LkdOqO7zpPNJa4bBY833YOsSNF7TbP53c/3/kYnctkqUbn+7uQ75h/rof99g//ip/7vBYllE
UMZmitaOtv6/ph2O918GIg/YNv9nh+V896/5p42SyWSW8ceog9kpP/Sv+af+X3BEbjoA28QByHj0
f7LB/n7EZJOje3ZLXULD4sJM/+uGx0h/dDo2gk0vWOOCFarxt9R05n9Q1/2+j9M6QNfrQuB2HZPP
9dvLdAgL8gndwsYBwvx9xCW7papPyGrui3EHhWXc/elb+A+jlH/XYfGKDnFyTFSQLBreb4IFv1oL
kHQxud7GjKRDVjpLOHV+NfG4WHVUYVh+8gY33/ex94gvwSdRjJ/6Xi+WsdNbP7+DWG/dGe1obhhH
4h5YyulM33I9GXMh/4Gj8Ydv9M+H8NsVup20bgpEPI3ub2d94mmKZZphPBdxU31i5Cnwkhj8u6BD
RAeQVWRKXOe2sTefCsbu5zB70+uS5HKHedT+ldAPfambub9LZgK4//5ymv9+n/D2bpj1m3CaQpP7
8c8HI9dvdbI8Fwerq7TP2WqwzmdMWCK3m1ICc9EgQ/6nv1H21rzRNT3Z98yMNrxnb5/OtvvNXJLq
infsaBjygIX2YU5AbQcxEMQ0oAwu3jEE41WIbViZpN79GHAe7phMyMe//yz27RD3+6VGfI3iwLJs
VAa/SUq9bJ30frDERg4l/SRBzgASezOJYKqmd5PK8EBWli42WtNNn7UzNXFQVrUPeali/E0HUnsY
5rl/dxhmky9j0H0rNPE2w7PsOnF2VWZGGHZHXP5aQjr3MB6IUko3KsnfpWgphGPx5oveuvQa4Nd6
uQIoHPdycaoD7jbaelXdnmwtJoHKTCfmMGZmxNsU3FMA8M/dDItnQ6mcrLOS2GZvDqM1MAZLHoXT
AjnOGVYFKavRUVU6u0duaj5sFFz9b39/Lf/tEMttC8dV2BirLcNynN8eM+kC0RPQPYhVs6proxf1
tskn/YTaY+daxi8NSs2VdiJ9vopjZ7UfFBMKpy3VD1u2/blNsLDRPzXdA0kqZeSiVnOCunaNEN+N
vCcEmHEZTkDiCmW1fPrMF8Abx80Rz5f2ZlhFckKyliRhKTNae3RhTl4x5Nt+cPR/uHFYWf/txvlD
6c6A+HZk/+P//6kdID1dju7tIeiKdrxg24ULxKW1D5Jl/Z50bX/bImcOYqNk3En83NGSQoc06nly
b6y29yI6sXwBdtV//v338B/WV4+CBf09/+gc7f/6eJbJUo2lmMRmArUecmL+lY7Lwe6LOXLn8R+K
pP9wGSjIbqpsnRgvlvS/vhjRnM7kLb3YLEvnvum4Rm9PcX79+4/0eynGp/nLq/z2lJZenjmdpdCW
WVn2pZOUcVqGmsmW3dfL9u9f6z+sCLeRv3/bUW8cuN8uH7ckbV3ctZsaufzR0qr1cyUK8URzTX80
545lt2ZsRdWh6/W9X8cq+vs38B8uKXpm23cpPFEh/Q5/arRJyDZFSFcCCHg1EEMGc0zU+9+/inn7
Zv688tHE4uCAwYAlnMAK9/dymiXXW8qcCGKhHmVn3tLCl12ejQ9z9UwY0XUmsxHN0+dNgzOkpXYl
oxtO+9owBLOmJfKHASB9ahMpACp850JUYiL22JkSC++SorKkgAuALR2kDXMksPxVEZTXfkEH/gdJ
4u/3B7pWoqvYK8mevZ2raEH8eUdaiQdtB0e5G9pxTQg5/MZYwZCwOsSG//11+7fLhqTktvEZtwgR
A3vGX1/q/5FB3NJJ7uIFeDTxjuMxUXW5tUhewGZn+P/wohwFf3+qUROz3nBcYmVF4fL71zWBxTUr
0mWJUpwI2CuajZUA/PHjeXqzCGNyAmPuHrUkO6hkenf9mlnjtJgfpK0aQa+nR84+aKI8N0Cmeg+A
T484796kbnJX3vJDuzh7j83uvRnBIlBDBiDLUT9URL62OCsDd5oPDFvtQLmdfu87Ex0K4mf9jAop
uA2Fg0xf9K0yYnH2mhizkmJaZWrl1qVXA8CF4RLBSw9DCweJaCzJA/SISAseBDud7T0lSLOuq/OB
UfKzZip1rcmfjGohkjeYBMNVgwiznfIuiWIQNUHVerCgIBLiC3RqRjJtmb8vkKvxKmc1wA2cw59m
6audndIexzFo2e9zZhJVplfPEgqU8nbMpIOMPv3POBNqI+KKKl5LyHISIluDvoRqJ9CjburMl7BS
BQM/XNUXm5HqvTE7MXzovO2RU4MEM9RgfnVW4Z0r2KXbDFoCaNsCy6JvjPFmnXADRDG71Hdw3dMm
o3mDtW3BcOk8QU5tor61qiSAHGPTDm/T5ais1H7AVkxUYwZrGCcodtF9k9brzgTDBA4SAiPzchue
hen/WiZIvNPwTKflK+d0+ZqZ5LpYa11tfG/8RgDsXQcLadvRhDnHNBJe2zy3iGpTgoGubCr+rhL5
sL/6gW+1D5W/vs4JoGRSk+x9L5WCL5YQl1V45DyBgh6vCk3RzlhLcd+PXvUJQby7DgqnRhCnyS9v
xLfINLnbI+eTD7QVjLe6leW3KbN2BAQ0SCJpQN03TSWZG5Y0W2aY5AJqSbtENNGXlzJZ+wcrXoYX
aUJ5aDW1PGtpLHey0YqLJltiXdH+PBYctC5D3pI/jJArMtrK5ZUdeYlXbdgU04wqGML9hxYDHmKm
Ly6mkoSn8u3t17zqH9Kh/KFGd/mR3z7hhKJnB9j2Xk/s3do80zJFQAz/j2n4OdbcbkeK5HRojKL5
GcdG+oy9Gw2jNWQcwD2C8lq6cZpbrlHPzDtafeh3DRqXB7ed0ktBXm2ky8UIm0XVvzy9m7faaC93
lVTVtRbeF8Si91qnVYC8oJFxoMxs/uZ2bgO0fdKCZWGIm1rQ9ocuxcU8Eao1qOSbkt03NKM0nnph
qB9lY/SviVc4e+bA1c63lmbDpNkETD8xwqqUiJSvnH2uZLlVGpgIKJ9GSBe2frVVrZ2xiRPAhxH/
pIr6kRV23rdVO+FptZwNfyrZ0ZU9xd34ZYnkSHgncojcd+qg1q2ZUMSUP6Al6dOIwXczzqO2LSzP
u8adpFHWaN6TNSw/Ok80j6WanKsYWBV4BoHLWNl4KCtxv0rdehjSiu8EfDb0wm4aoEgC5/SNPt2m
/oT4w0duYTby5Oa3fDQLrEqy0MoT8Zq+9ESp8XtyPep6ywds2i5cBKsj0/SFDaKFVmGk+Qcch+GE
nGK60OAsH8TSTASEaNUGh2YfpSXxb3b2jvir2yYM0iNbK6ED6ESLjOAyZvrPF3jmxB9os/mTaeMQ
TF6bR62f6lFWJO29qVVohWNKO2drVfarFbeCNRAN2CZN68hwiyuZkMMjWeZHSBThYOFoLPJnRL41
n1gWD+ieDIg4mfmpr3P5KMeck77HtGaXd5ABCByv84je1lWZjh0Bslj37Ww9GfEcihpn/TBgIQSv
sqtXOWx8Zf6ox/aYGiKCIM40y3bwM4/2bpKOuVOa/tTQNUXSMp5rMcanaSDBKRDg99/6tTIi2UKo
BO1gNmOQMv8mVGUB5yhXdexvSFnGrri+i+QyrIyQe3MywnSyVjN0mxltXAu2dshuRETR1fbW8e0s
bKb4jmNHs2uYXx4bSxvvNTgjTOHrmqSCRt4JB9O87bQPKEfA4MAv/8hs1XysSi92RuySI0W4EyBr
OztlsbLeeNd0qYdCkKKFdoPk63WXOjL98A0tv2s9rNauw86pQKbxXEh/P5IVHAKXpxwsF4RygFMO
0hKMQheBWEwhWSsnCV+mZfHOM/WgDHiE9BECh77vs9cTd9kZqbwHi7I8OknhHaUql6O7uvkRGP2C
DaaPv9Wrv7wNABpQDJbGI4DRlp6zzV6YmvnOVn323WsEEEwbpOfYeu6bTHT9kKUkDOVWwnabEtnC
XDeaCyu5p7PTb8gmaE4TAqAjwBRxAmsqNmk86s8mGUsPZdZbB9VN3gnVOkIeP0/OI1yzjd7546V1
809ZtfkzaV16mBEOsecW3bRD98OrRLqtS86LQCpvqwssAnLjS4bZm9V1lkNnWxuL9rscrgKYYNU5
9XUqAcQkdIT70ICoiRnFc88WpMLHfs3Ep8ja6g1jpYC4Y78usS3gdZLXXbf9uBPTqPygX3tAWjbt
Us12qru+aB3WMFttbSaSUaYT4uwSl/SkiRElxIz+b9y6UqQHHPQS8LANpMVom2i1K278uCcSNppr
AH15MhL/4enfPLt37z1+PmB4oT3Ufl6e16z9JPQJM36hLE7ApSKKWQ2XG+fL7exftafukmJN7kXh
O9G8jEWUTGl+GC2uM0HgImytZQpoR527RDJHjUMOavFWxdUkaRCA9RiR3lxRxwxXRIPJCyWmYxDU
kBkAQEhSCQhmVhfMEvGrq1zjsap6/Wz2k7yzSPU5z/PcfXZkFyF5aNP0eap5M5puiy9r1v2fXkbS
XJFl+cZM+Tkj9rRIObUCVsChb0vsqQVVaYYNafqde6rGbtFIdWrqjfLd+lHWbn1I2xwCOMKpAQiS
JkmR9EYABBKuomtkxguJaORnomeEHyjYr0faPwxmECnsbOhVbJVDGz/b0oA4apQEsnVTleyW1gJx
1MWtI4MWKEOQdWb52gh/fiPIqUzodQPZRx1En3yTD1YKJqbJ/UuRFuPWLLQpsiiG0HvGmnhHqkg/
T8blu2MO7s4XyIXJXMubYJoq/+xDseDN4xuBgr2C9R2l1jKtabX1OqMd4cikOnmVS9qd8zF/REHy
AzDYN0SbKBjSxbxTSZzsh2F9G1ayDzqiOsIlLfAnoVHYmNUtJuy23eim63K6VWt7axHNUV05bSRL
bziRrE6QCPzOrWshhqiYRsFBrOL5gDAX5JKF86H0b5gbOKjkGOA1W+r8qM2ZfK3BdA3x52q7j95k
Pitv/DBAmUGc+i7gVaambe+rRKse2lH39p1eu6GtVy6SAK/oo7LJqqjRDYhjDe6TS6VLFWFTXfdV
qQ0GrSjorjlJpmdfqP5J6woEoI1HlJ8tzeECpJQ8l84R4mOeaqTfvIUBCZpIHkp/fgI6Yu0BcdXv
86qvWC4m3drTWpq+xjzun1a0frtlboipkNIlTnpJoIez7X0OAzwvHDb4UmzIZXFtyR1PskcmsmoI
6sin/cg8671ueiNQxuCBP07qGUnPHQguCY+Ghktg+FkbjV0mD4iSp1cdsDEBKN4I3QwOrQydZqVm
1bN+AYntZL/4mZtIjOj6qF00mHIcY1IbV06n3RWTl0NbRUvoEjyQbmxarRtl+oxQ7FQTQIAbd0sA
jLsjkrxnybUbKzSgxWzrzveetNmlYHBpGr6gDGzeKdj1Iy2KZqfwO/BwDz44NKAydowAM5/C0a/q
z56m43a2ev2DZ9hELwtJrRi89V4b9WGDbrTkGExm7gHUjHbWU1K0QQuq4gxhPb4qDh8bAQoLUFfZ
4LHzYLIwfj9WifdSjvod5IDmxzok2U5P2/QJ3VrztApLCwfZL+TwspyibncefN/Uv6ei9B+HwjTP
pqszvyL54+dtKfwO4C59GqaqFfxmAfsnFybUCM1/cde+f3YLsk6ioc9+srCUF8hH88ukL1keZRB9
tkbbYWZe6pbPkBb7FKXYqeyz5GKsSfswqrm5I8jKOshk6C+ZUaGH08zkWyaHmMwhFHdEqZvHyfFI
H+LA9q3yM2ifavDLHWce5JjtiBXJq2bo3KM79rcuQ3alMzi+FjadwVlDVNvASvXJ9Zu6B6hoLu2U
VS37mvPa0Sl752syWgTba15Dp+VWfWi9fAH9oU2meRAu9XFaUk3uC3WLe6+zqdy2uVfv03rKv3Vd
pd7b3NYN1OgMDoKmXXUMTcmUvwyoKyLTW4yNXWmqg5BUUdiAX9VPbTqmF83R640hGrkfY4XU0DKg
dCypumebzLdQiUqLp6RFMbx4yytYZ8hWmQZcuvQEntIVCGNb95fCnR/c2INg743FsJd8BC2Qnqx/
8UvbCSdm/2pTLADeA19rmXXMiScetZRsJlehbLZBzdphS3zWiwE9BloP2ViE8GTtz1JCmR6RAl2N
EQ0oE8eJSorotQ+Rxvl7jd1BoYPCaBU2tT1lcFDTfle2FoddbV0gATV2x8qQLI98UFroUs1QtnCW
7djUl93sOtW+sDTdeq3iuPs1mnlJaU3nsL4zIabaIYWBmI7+kjlmsMaGu0TlUgDv4yStaVfM0r0H
zd4pp80sxNtQ4XeQq2c9lqvl7zMtI2qmGhtioTnhw89dVyG9DXXmRJTY1LIUrOtApEiR+em2qmcZ
9Q20L+GuntwsnVrME+29WA+dTDCo8mBJ4n9oyefBSnIuLL97yUYCxIEcOcHUYkLrNG/+tUofISK1
93QH6qj6IQx5y9EDEhku7LAJWrjROuHXXb+ZOEd+pfSBzvoqtE8+evs+xFMnoMvL/o6tkGWA7waF
6zKgxbgIL1kuXeN4RGgCU9+OYtRPdMMS1vOxKqdotMqMtJZGXjNsO5dGF/l3SkvKRXdqvR95rgq6
6yzc31pAKtiUremY96lHzg4KPQwFkyPfu9ZvboTE+I2REs/VWGYUelnzVDOnP8VKJMVW86wfpUkD
aurS0O5thif0M3do3u6KgoR6suJdzjOrljzCCCufZ9KTt5aO0VamnnFFJYFxOFcD6lzyRrvtUq/9
YalacyO1TPVEuDU4CHJn3OdsX69JkZC+6HnA3vgk8EDVmhcfDcelzTQ1/Z5HNSH7bTDucWZrDtFy
PQL1GU6wFvZzj9B6npcYx4ibskvO43omi5XCgGr4hyla70B3NTma4/zVGeOX6rQXnRIgKKEQHiyD
1FuPnPqtDcwJW1M9vCqZJHeeL/1TTmzY1+hWSRasTbZc6GyxM1QcrG8qfhcut23QBlVZF66z1L46
7JyQqV3rV2eKqft5ewnQT86EzXJO7VRsHHPUkSCMGaW9wzhzCXQLsjR0FezuMR+uWWJK8PVVKEh/
mLynHxkBRkWIF6i/zrF7P6a9OPeswYKPFUekNBFo4RdkFYxI4A9qsvuAp+Nd529xgCkjK6EwKXZO
v8zkbyRgw9RCIuZAHy7Z+dUtTNWbrsjSrbeOj36H/ZTIq1smMDOuZkN3yXpldwptDdEO8RyLuGgG
VGvOMoiKy8KLWmM9p3XVHn3S4KDmtfITSBzttgpmUSypdbUZoYbVTj1xpzUyccjhPAeaIQ4dR9ok
IEvNnAIk5yLoC3NGULFqu0bv/kCkNuQDD6a8IJqpt7qt3EPjmmi0WemMJ+kp5yetjBxIae7h3NBy
LGNG91jFKr03TPqCGITA2DmDdY7jIexz7sPFWZok9Lxm2fON91O4mjZDV2/ijk39YzP6b5Nmua/p
6jh3xaJkWHirQWu2miPB3ns3INk+e+PgRB7HlbfRcPIj/qgq5HAgN+Y8TuiIWxQf4G7P8+SREdvr
2rLxcdhRA1FfPbgLVTG6/PGosJL8TNTKBlzGKrQEYzT8WfVL5YjiGVDN+qhpifvKvL6hJMriCnX9
0FobL9EbYtNzw0LO09/csFlJD7Y0n/qlhrK43NJs7B5M2gpqXFqAANWkiGch8LEm6IVbxbfnKttN
nCUJX23gYGfoi0KiUOM08lM74bi1jN9ZRqGBOZrA2uDDKVuJmiRVlCm0t4ZLBwhh22Xu8Ngbnr4v
Od7Du6c9QlYHDPUEZ82kPWTlkl9a3Px3XlsRjdaoEriecE6zXbf47ox667VrHomxowbqSidScS7v
s7m57yqMQcYcB7Uyv2eN8+FjEQZC6szQVZ2xJSGMgC/w/07YL+UZpKbYY9DTHyVQ4rCtLe+uWqby
nHXFc536ZmCUY0oom2k8ucq2nwesOwfiQdcNIfFP4E4LFmlneiTEUN8PpSguMzspTIf6Zo8G5Ket
yROS9GrX9UiNzIouMw1d6zzVNkmAjuy3Q9eAEZ9Y8z2lH/Wk1HZzXB3GUrm7gWiwKE/7Xz3VyudC
Xh55QHM4LEiwZ4EwbmTyVWSyOuhmU25aYo93btrRG4qJouMOt5LNaq3pcz8M25V5rEV288Fg1rUB
ZfjT7qr1mEyTdYWfpIjawEcAIYyVtKb/REgaPM2m0DWSTXrT25ji2uKlDLDuyDFUohu2+XKLDegZ
LUuM2uXRg1i6Sm3j5/UFN9LwXvnic/C0ZDdos3HALcOf9koHFoMKm845mWu/1yT1HTJq+6ja9Erv
t2F2UO2aNH9oNKH/SJG3szRRDptTNdPOH5cjDbCXwicQTOpuyOAhNDMAugkq5YNFUmVSY3Dv1Vx+
Wn2chYWlvq9rcoIcgK8qyRps9IaZVKQMeSbbgSa2UlACrSI7uObSyaDx20oGfc0ki6OHexSI+XD6
UiA7gFGCxhL1xjOqnCYl5QQM8vl7DZOMqMjCjqzGoWgf5m3CmhvpblKMpIKKH/h37CenTWrYwKmZ
qmDSiGy2l7zfl8tCjDNVRXonNGTRO0IixbsaAa18xPwGj6eSDnWvbzxbNnkZasIaFBTLuCl4bmVI
Lb1ZPW/BUeRLWhmKmPNYs+OnVlowBAe/8Xd4rw83xX/iteZdK0xiG+txmpY9Ht7sI3ZjdkU355ZS
mdHkz1q25owccYr5H0lGBlBgCPRpeksO+tHJqE/CpHCM6d338+LBT1xh4cH1kAACqb4tcFl+KsW4
hmsxzyGcUnqiTg/pOrnlVOChuq2neB1AeWSP+TQWT0Nvs9qybtQ7K1/paU5xjU/DyRz3Xdbl8LE0
pvgsMIsGyvaHKpggogcddV1oNnO5XVdUwF67GP0+F2z3pc5XTTE4Ui2SF6k9eJp6o1GsNjmxGIww
e/cO5zU9fNL7CMcjlGYtL47ezNS/7dXKzUNXyY9Ux0/FnOsq2N+Tpr5a4G+6vNeebGPC2QbENHkQ
HEjO3HHpe4wNkoq4DUgo0k/uQlyumIcoWUwJ6bHNmC4RylDl/m6s/O9jMj6Kdn5DrjijAIRJEuWr
1R5mDNSJl+DmqVVz8TEjhI7iRq/wIhJ+QTKL2xnDI3t3zQ5Z0CXLS1ltKAOoVHvNnpOgXMfqa8Ua
ESrb6kKOPYcarX7QuzE1kz3qqEyIXgil301PPnzel2TAxzRnFk3qUrSXHAEDULczTFAAmbNrRIaX
0qToYDK+US9UOthMt4XdCkF1bKz+e0YIGBFD4KCPa48rLByJlufgmzEWbns23WpIWPLS0KNfsOSJ
v190Y4h0Sh2T9afCwVfW4qnFDcpBi/5pppNAS8rvewdXfreMrLj0Vudz1ggFwHVe3xaXqq0KGWXR
2XC4Wa6Oqt6mybAektWIk23XW8t3bPHFfuB0fCbcwXlb2pXQyZaxHkeiFT9Kvvj6eS41nTgRl8uA
HgwYL8zY+GrRGvpJbUoVsubxJRuBd4Y9148rqaWusSEisnyhhAOdodSuWMyQKB/9aPuEwKTdWLxU
eAvVIKetqKbXHrYqVzB5IVpiJw3P3ZfMkjbDqrpQX0gUjYQS9Lhz7WoljBRZV7KXHpYwihFJZTJy
o6EU1dWves0usnVv8ZXLzjVVVE8lIZjwgckrtYtw9TI68KncpCYU3g6lzRDYpky2/lLhu2tQwzgR
0aI/zMEUcjcAV99X1J9vOrThLTl7LeFxZvtJTKiODsrkBpmgvmZB1frjUykMcw5bo4clDPuD5trq
ntzUq17M2SFxcqBZB43dTlbel4uIt3aShxQPXu+i/+5Gmd0xOWHkYFYlqEAfso/Sh4YQ7WpaH9c5
q8H8G1MXmaln7j1SPci6awbGCXia3nJWxZ/YjI2wRlzz5GBuok88y+woVpslTLjQogvGZqMZU8g1
pnbEAywpmdqGYBZzJFXOEVNxmTjH3I1LnJBi15HcDjNpXjqICg0POwYiIgZ6LnmomcNr0YEq97zV
22TOCJPVM3KOdebBcbH5BVMqdqLjBEWET2+eqeCaIFVMFceobdcHMpq7PNO+GrJCQ+UO2qm4nXin
1cwe0es1F8sfsYciar/P15VgFyO37kkcXV/t1HQ3BNOKyBvXmnpP9IG5dmYoioZo2hzGCbO84oTO
yeZYNnJ2jtvpyIo7w8m2vO3AKr1zUGEHS6Nuk7E2Nr6VtBvuYqZAkSz8lNRWy3kciG0lYrgRP0nV
cGMSCKEsg7uerWiwhRakEKrJDxymiB6SFekpXnqJf+tNZal4Mrg/H0hN41ZKrJ6+w9o8CqRaJIOa
Dh4ui4R3FlkaVKN90ElSpptSLFnkFaJ6yipZ7CDf9CTfsNY1usVAf6pRtgWLnvOJK21IyYGoDSZL
idt3kLTTnzY62ndBEPx1McmjZZyohSZCRTIfLBF6rj+GmEYdrlR5i3izlmOqwTJmFR/5dqam9T60
SXvHxf+VjECGwY/cc0PRraebFFZln9+nmlEN0ZDj1o0mO63mi78yuiZiduqGXcPimYap6sY9t3XL
8dGiZTpVXnoArZa8uK0OyY+NaNSjxi+xdmpcWSQDq3+qRyPeC7dSP02CbSx67rFr9ddWq5ZDrc9u
WBTaqMKeEEpuyz6LHxKaRU/cXdm3opbG22RaxAy7XbJJNJFs4yZer07dQExwB+pL/NqMnUtDf0N1
2b8Uq0ljyquAaOer4R1SZbaE8zjJl5+sXiRjvdj4zro8tT5Y5pqI5C27RblxXEX0xqwDhlv10WT8
Qv4UVTLeO6tuj8Cjy8hMYGKKJTEOWu/3EEYyJiZr6S3bzh7XC42W/rCmhfZRJInzanUctDGWV/tO
S3GDO266m7M82xq9synNefjU8IscssmMDWy8E4GRqZGdyFye77kjS47UtnpvnDH/afklvfQ0WZ9c
TOnkUFPvSJzr8qZgiOgagybJ+XdBl+R5IWGcJCq39uZQH/vuyZir7mLDhBAX3avHu34xMKAKbRo2
xIFm+zZLmaCvhX6/WKlHJelUxt430nIjnR6NiiHp6vm5+xyPlnlJZcNBxHBp2pTmxPPMoyeTjiGm
t5YvKQGKotWQUK1dc9Ya7cWttS8LaedzJbWWPCk73oLFzm6nWuT/dpa96tDXifxI3GdrLsZHUomb
KM8fJlqtW9POh7eicbp7YVjzmwZJcpMjRDlaTeaFeGiGN5aVN6corfOi3c4HU1VcrMI2j3XZ6bsy
Sav7hOT0MBZj8QkRHfDAZOqhqsaMUkVndUBgtac2zLDtSrNP4bza4lC6XbsDVrK+VxiQlqBfsOVX
lsZ5rJO6FpSck495JpKoxi2Gs6euos5xV0z3gxli9EEaUQ8eS1MiD5V06Ps4/U5Z7nAnp7gJU8cw
3oRfEjvh8a5wNGWV8UCzNTuOK4n19Gxz/lZ33jZSLw7gLqx76bbdpsKaFmlp7R0HvMZBXv/C8rF1
ZvaMEpDtjmM0TP/lFgkHVUIPsbjU+9aha+x4ybuXpp+olL48uq0Yr9xtRt7cfAuea28RdLJtvgqn
aALfucXSqzKobtnoxUJ2azWeEpWcJrd5nSHtefPqRnPJYIjwSZ25cbrhkQ0HwyZDxDUO5Sifls7Y
oxgKXWL94A7UZSgmMASCqVAPrY5Blke0hKw6negzbb/q7V1p2fshX052S/d7waD6SKuLJEtv/m/2
zqS3ciRdz3+lV16ZBU7BAdfw4syzjuZhQ0hKiVNwZnD69X6YVYWuqtvtexuwARv2poBEpZTSOYcR
3/eOycZuQ/TI5RSzTCqVvLnlWG80N0zOnhun9/RWOQ8iZ2MsJixCTlYY2/86Fb+XS9IFH75rUWSf
WYH1zeSF6RbLb/P4UzH3v9qOuf0qLu/ZV/Pf5m/8WfCTxmHU/vc///H/jFIr9kXTxOr4B+Xgv3Na
zk3JkgjbP7pB/v51v9pBfEERMlZL10bZR1z27Oz4NfzKtwjKQ6WBFVf3Ef7N4VC/20GcX3wTXSh7
5a9eTPSjv9tBBCYS3cE9YFr4HfgZ/xU7CN7DP0tEUYcSkOs5zDLob3Gf/EUiOnmNqXcjEftjjGoh
d9+ht/1FTCfsJbLH4BRLhUBPyx6LMnVIYgHOq/RBvg+2cM8Yso3FQONAIhAERfRHkpuH+z73HkM7
81cSunlYqJg2lpGS0D61O5ghwXYHcbrq0ePfN1wdS2Jy650X2a9JRz5E45zxKAMHi3gduQmzWhfc
gjLQdonchJqhegHZSn9E4G3qDnO+m4lTZo3OuxsbcktO+LopTAcJmz+dZTZl3LPwhxLwibCdZqfI
bNr0jKkI+7wNey3IgVRwtQADxOsZ7koRA8Wd3t9Wkb3jHfzRm1gnifrMlAF1YN7FmTjSF8DESv2Q
KsxvYcTDAdEaHEINILYFA7iPeW1voGlpfZm0EkIkfhxwxTtaf1KCF9NvS+uUjPzKsZVeQO+2FdK1
RV5WZzq3GmyKRbaNh/azNMfpEjw1PsmaTQWfHFWzQCqiJ1VrnxwBcVKptbRxIWZ2tTS8/Lvlbl75
cE3I+Fd0PCzIQnhgr9tHeLtJuyYsqmNk1m3C5bUp2dFNcauZoluHTTM8qngSe8vNcEyYA9Kmgnwb
JCGDixQvKxB75Vl9F1kd/jYgEwgMSSUxZ2tSZPaNsPAsSoEajgCNcklpT7L1WjtYSpS2e9OfxgeY
8DsrpdkECMJWcOTReK9LpFzEN7XlttWS8GZwzn4mHvESttspcfJrT/zXktCLM7PwDZVYqzR1nkM5
XujQGJetGqAn+prjutmDzTHghs992NfHIV6PYkTao5oL9cbfaX4PoFWukPZbzGgloEY2JusWLm/o
GB4qiTEIIoANVF+gEr+MkDCpIB52xGvped6mqMb90OiPQfZkynJAzZBpKyLk+LeTfcU9WctSfzRj
qhTxNIoFtcdmw8SVY4rwemNbBfoiF8Y7aH98nAz/WyYEtKUTfr7s4AbV1Wq5QxF6Fal5V0+R8drV
EFWLuIjXNh1L98jvNjmbAN93dNH/ZzXK7cgSV6Of0FsyxmwBPMVnaVfq2NZk0izxbDhX2DsEJkHD
JW7X3rsAlVv6ivgkxCrePjdqtZdJIJ9BFxmvPdXEJ9AsfR8lYb0biQl+aFx4ND6qzd4qdNKE0ob4
raovrpFjdXu6fOVbOgbu/WTHBPToc8xrmZM47xT+sfRjh7blvt+0hhHulTYN56yzs4epjYcHr8zU
IdHL7DGrR+aVzoSUrEsfNx4FcBAMUXexe38G8+zylHZef2uo3LoIg6JpRHrGq5FIRWJJMWyGAsCu
kk66r6Hfbqa6iL6wiHLtNuTmIIFKoUqLjld9Un18TtBTnkQg26MMPESgRdfpVw8m4a63uoq6cdPA
8VNEjyNv1rlCUHHio+KeLA3nS2YXTMUQQPRcZqW7NaQpLz6/4CpqIeMTSfTR7g+3zD8wu/3qg/+7
sN+zcS+YeHC4BfB+kKf6FzF8mmIltZop3HthKC8l6rhunzRdc6msPF+pQKcYxuiZmU0gGKOnyq9H
u7sWA92gdqsena7RNtIaUVm4CbBPiwR1BQamUw1F9Ehkx+FrG6hg4DMXiiva6+TY6tkFOzl7aOVP
19KZaa3Ak+cxnOf0KnoUwQAfjLV/1wxdtuwMiM5oFA91TR2NQmhw46jQS1bUjAUPZY/9FUkPcA3G
N9juVZTzjQGCIx+BB1MOEkaUNZjRg27Y6lkYJRio7eJVM6IKErQLi7WYjPzRApl4xdtwQFk0bUjW
ulPuPMe1OYSssyrzEbkWgj3UZNLZxll+0ljkdmNmgAsoi/DT9hSV9X1Qu/T1FHq76AYBgBEPyykP
4nVKh9WCGXhaugTMLI0oOzaT3R2Duji5MY9/HNN2jDBh0+exuSQ8bFzDA9Ed2DvhZ9SJnoWotzda
mGhgT9j0izFJOWOY9N0oTe5K/EyrkhxrVJQ9Mqcg46M0sQezlDnUCZWzS12RThgLjbQNoUePoDbm
KYyd6kIJuH5HxZR+jVLLNJZ+TGsY7/VAGZQTn3G++WeycPm8e33U/HBD1J8spFb0lUl2mqEOhg0W
tHQ/zs+MNz89EPVqDYxvvMrGU4eIxsQLdO5wW1YxNjU9534G/LqUPVdl7tTNezUCpy2UbzebdH6C
/flZ1uenOnDT/KGbn3SQ9HBPIli/oY2V0KX5RBgRzB9Lu4DbrPL5c1B59958hsTzaTLN58o0nzD2
fNaI+dRp5/Nnmk8iJD31jo4lfZ96bJA5nWLdcmjr7Jn9Re2TFCN9SWANDkUVLTvya94TaY7HMtDo
TYHgvEZITtqlz98+MoA4nzhnWVYTp92AYDlX/rZ2oyogBory7HUMVK2Df2NKWupBjam8mXwmlBTH
brOBbCcb2xRu0m9g5wZUweXgzHWKFoKUDHChu+Ru4i11USGQm1y/mVamPwh/Z/R+kBzyqQnLZ9I3
agh8kVIjCKaRtrsinOsFqUoiCaFoYjKhVAvpuLZkjgKxrlDXLnQAVHvBlkNXlT8OSKCzSUzc10JA
LNUIK6lRypNi61WtBcTdmWcvHIgp1lxjI32rWdeJbdw1Uy3SpfWzKLFyIinXWm14PXVNhU84WBl8
WJ1T9eBic9Eicr5IW4O7MgF1yaQkEoVOf5mkpJ1x+tnUyFyJnn+g89k4UYFj3qXkyVVlXiFqGSEP
kqRHlzqWCIfzXUN4xoa4mMe2OznA5OTM62cUr4QH0eBJM6kWLJlRgbjIu1vqLjupEYxEBPrhsMqK
EpjFRgajd8kbqFePUrn/NHKrgl6xlp4/mtdAr/pL0fKMAmJ+xO4HSkH/QDY8Nn93NImq4xqwCogR
zP6wbcWt7Rt3yVx+OdCCacx1mFHmOqyQNVYD9tQjGWjOThZBtoQ6PCDDvCvmRk0nNqwTOgd0FVP5
Kee6Td6jEAkQFZx11F+5zh+BGOJvYffRvlETeWW0EB6TlJrtAcXDEywqDYxGNX77hcFnUIVIM5dN
3erAdH5MaMb/lg3un8aZ/2mh+79pz7PE7BX/5wHHu/d6fM/f/7Tj/fo1v/n93V+4gXXddQUROfbP
qpHf0o3tX2zHItAJCxk+MntuLfptwaOEhI3LcdgLXdfiJsdi9vuC5/5CegDVJVDPONn5P/9Cng7Q
1Z/3OxuIHDs8+6Vl6x7ZPayff7TNpYZJHWka5Uh3NO8G+1nvbjIEHZucx+8lBOt6FV4p9zk6q3Th
002OwQ+pt47ldVd3pr9PMEfc+zbfYx4W/KdCedaL2efuZZp0+zEWQXMGXLKQ91jJRxFr1gWfyrDP
+e/Oydh82WSwkM2Egv0jHSaTlNYKUSDBO+YDtCQa8phe0W+IUvNce458MKUxHzO6eQCmNK5NZRFP
Tj/xqo2wTIelFy6gBZIn+lSRClEO96SXUXKmKW4Tj62OrIS7ADWKv6Zz0VskSUs+ChliC5F6REwm
lrEvpBcsRSgq+CAkqBc/tohnbLBo2UMqV1al0rVF+O593KJhImywvSgkVSs/oEUiwtWBbE0/2bZN
fG4UaYdB6jYk0DykwkBsOpjM+67V2zP097RO6FC/VKbd0ArXGGtgtu5O5lG758yBZZQ4FFIlLgFu
aXqNB8rlBuW/GpB79OmBXoauaa81s0pvpLTqnUg519u6HNlb2+kdBQ+ajzgpNwXNXLAqM3Q3UdUR
1K041KQ9PQZp+U33WMku33JpLAeCxl4JeAyf2jn8fiT65MFn4PvCtgyWZHtzkHr8M1R9RP4c7x1d
YYvh/NVn5p9sdvtnTjt18MNbwgZgb9LAjq+5h4skZvw4+tSQrusS5/CKwF0UrIXyaa/HJQEbPqeN
LTVbIo8p1ZSfuNGyb2NOlw86gxBOvTDErkY/ccJGQwjqIKp7xIFyZVcYF9CZfI9Dkt8SS1cctMGx
zqkMw1Wm5e0zFzjFvZ6vnt0uiZ8KCh9XTaXdmU5SHpOuN79RX4tFpifmsEhUpQpqP8bhlgTCH1Hk
vQnhBueynsiqGNzgiAlPrFSfi3DRJgXLQdBaKoVJRFbQ4YK+iwq8YPHUjIeBQKMb3CVbbGugE7kB
ceSG3akjr/O95pDfjagGd2HsRad6LFMoOLk2wyHYkSmDAsqiBvq2p3jjpm/7EejUGQ4ERIlXwm0d
b51OnfaC9yB+CkuZ7vO0798Q+ervPQMy3BYARtF43rG3qmYV++goHXEbD0Z1Z3VDxp4nu/fEqqon
MVjRti6U9Vp2ZUgvXkfy7UjSsUH7dWyd7cyKI/y/VXkJG6CthW3ZWNsjkGsmr/JGDHFzjb2yfA7Q
NlJFkulqh6UfAkmH6tmwQWIQ18dkGWSMFUjYjRC3cGbdmJYYdi19wvy8Oi3XUHhG/0Qyh3vAwjMi
BdGKMwIXWofbxLyJQafOZQ7m0kZtfWg6F4eD5yb4dJyydM4pQlYS+WRrfNESbHx5zth+kbNVnYHq
BwCmDC54KcxOrjuyuKmObpoavYKj94/UP+TV1kCAJ5e5UKnL5ISnFySA2SawEmogLZrFVyrvxNnM
XbUuJACqYunOV4Xb6mJVgnN5c25PuW4tF2R9Iv/p0noGGjmAL+vVJQk7XgSDQxxwKpCnL0ayqYIV
9l5Yrzp2PJ7OqY9OTMrFC8V6YbaEOVcMZl3+AwmPM6CVC803G5mBABhqotcBDb+NCzHFCuHCoWEO
laZyX1GSMTpESO0fSdwX+A+N/qXSzSk/kO1qoWDVinHPwirybZt5FiuGH2sfzPuEa7WidF8UpiBv
7UsPZUCJI9QqxvnQpmOFg3HAukI0fT5slNmNauuZ+gCIYfraqxMNkgzzYgChI+KY8l4HF6y+iyFl
UbIhMrr0EtfmmggNskLwKjP7NVqf1HPGNoKP3hTFPbQr/EyPeADrY1A3H3o9obFUENnRER2u2d6X
NOIc3XrKNizaLaVZKgrJuqgywKMwLZMlxbPqNa5DCjnoJs+RJqqesNK0QVwBcOmgdW1EkC4CaSTY
YSw8QabExDkm0tkbRgvl01jx8F1rTv6MWKmB3mlGucRn24dkalbyLk5JaVa935ylb39jNqhR+Pt3
9jDo6L9ESJDoIAtno/SMdE+hhrcRhywEv+qcN1vpuOTCLB33uhNCwsYYzLeh0bl3AaChdw3TANns
aGcG0hlsWBs/wTK3rl2U16n0WyKU3ZGoZcnh+4gGbDgSEBw+6XaMtlcR48rWr+v9ggzb/osJUmHI
74eWeRSrPtFz4qylXeMuWtyV9aLNlNhrGqXOODGIXi3pyX4YWyc99pmLkzszcj6ABe5/QsnJod4G
2J0fVaOic5oJAI5U05N4nTt58gIpz89MmGl2cGwEzZSmQy4tGtCEAzkf1TPJxJm9j11G4GXgZjQW
QaKRVl3rDY7mnDdOsySQgqY3/ICiC+WPSuuIKBqqZLrkWscT0xK08Qyhoo6coca7brTjc6973l7m
9ogOyJ0Szt6cEqieb40crBjUKylf023TWQgGMDMhVhFCeyXPcjiao6c/ZnnLpcfGvw3i3H8KpwFt
cOnLW9uilXjVD6IDyLGyMwsXwHNBu+wXh257kwQ2OhMfDd9T19kjBuDYKt5IRi73PnWkNGMShHsv
YmxVC05F7QPX24iXE3kHRjY8kTZieI9RwVetfI+RwpVbrevQ8yftSPZMEhd1tU1g617arFb3Ra7n
X24Ey/tMRABygHrs3bvESqJwTgHglZy3MLSzRXr1I4Khebkcs1naISL7oCUf10uIGOvbCHFY4/VU
jlP1ayST/OC9GhLky1751Dctt0CHlssms/UurSMUF4RBZzXB8TMnmpJ9cqu5qRmS4qLpT2WC7nhJ
dLZ7ItPYQXiH8IAwoLj21YkaCcCQVDlhuwoi0SIxTvnXe9ecU2fTKHgJHCKQM4R/hORIXlW2pPJJ
NYNz2/YxBAIVZLTo1Xlzpep2Ok/DHB1IgmpzpwxZ3vUetC9aDt3cOOyqc8JxnOGfHJ0Tbh6WP5sb
jk8GMDUlycrYGIWhkCF3KRnGk94y0RqAUw0SgBu62UDfQy833ycDvk9DJs+O6TT6xakHXhFfphWF
mQOvUGmX8c5ASf2ekjj9CUvDjxX6Sfvko4vm9Y1GQmttN/yEdJE7Ryr/KUayto2mSuPwa81LStbj
WY6AZnPc/gR2nYgdNy1aicwxMqQ4iT66uGQb/xRgaT0Odot6YjLdFgdOHDVvCK/xPUt6nb9l6Wdf
gUqsgwi08AOx3IiUDIDiZALeRJ6l70eEWOP/Xxq//jNBcexyczLS/2RpjLP3z+hd/u1av//4aqI/
bY+/fvFv26P/C4G/iCtNAF0yE/5QJijYK1knObCxdpGsymb3+/Zo/WIKqH/dBZIyYRVZLH/bHlks
LcpkPd/i4zoTjv9SNw6U4l/WR0hLIudoOZwruwzT/gs9aBJvwAjfelvoBhBUt0Hf2PgaY7s2Vp98
Ijmu9Mh/6ivhbWG2skVGj8YKpDTYm06FjR3H+o5Lx1wVVNyqzM+2dtYmb7JO3U1BeoOJVjOtPqtW
Lxd+g3Nf9mN40dBM3nl+pG0K+Al4ItawHwTx4CuKGveu1ETcryO9tD8DCem0QI9ADLiWbUZfnePE
lkfikwwGd6fdV+DkjoP4AgmIvolL/0ZXcbUDOFIvTlj5P1INZwAT9BhsKYxRGysnVmcpEzn8CGM7
eFMiUIepSRAUOwNsVFNEO9jbcTualNg0Q4UE1JRn5MTejSWDfj2aSUGGB7Ug1ahm85DNOKSa6drj
5UZCPURkm1jOuA1kDmM4BXH52E1F8RVXsXPGJUBzj6cepkb3n5GDeVfLxWYCLtjFvKpFwFkeF2iZ
sdISiBNEDRfLmCXd1huRIbWFmb40atQPLLDtIU/NT4zJxIHgGD7FEaqM2PWae4mybW+NjUvy1qTT
s5K68UfkDtqzGYTesYob+xR6TfBRDhyi0LxC++7Qc5wzRpqXgpvpzBvO7ylanNdVjnRVty89cEC+
csl7WI5c/OtA974JSM1XzHEqXsiuyw5VOneuc24iricNBTGRYrM0Z1TPsXmhNOLpM5ME1SnwV5Gn
9JcuJDCzcmS18wVCmVKlxrx2N7vSxCnao6/beiEcbRKi9O0QBNHs0FsJ4u7gyWPEXglUng+0vwPu
N9xiLWzZ68AOtlMm5qjOdrObWBKku6y9qF8gHIHSQJO+coNm3afunIFNRRQe+S8ajQImt7wUF8Po
kr2qvAVvOjk4ECSnvpj8H6K0w8ehM1BD91b2NA6mPHgRUS59nldc/oNfsfESBdeXunkLuqHnaMc0
ey6EA/61EZT+aOzmxrdrbWkQmLEh0tS8TNaYbZLeGS5M3Aoi2eRTG+u+fJSkDlcwkDP/kfGa+YmB
Sa/O1duESu+oeV55N5NTxykuvc3Y6zDoQ/KjsufkWQSd5ei6T2kJfcNg1y1qRNCiHmFqRAoizmD0
SC6Af4n47dql0MjA14Oe9baCGLy0hR5erQkJTBsRcMxTNrHM5n2tbxsL1lQEOsqoMcHDlon80wPR
95EMatVOE7W9wTXorTEXXSdVfDbGcPDSIFlqer8yseNuajI6ss4qd15FUQXKiIeo0lahkZuksCWU
O5mR8x/lP/27Wq5ZqqHbnNMGrASH8Ayq/SH4LXATty8ajgOWCYKBERTOVHCJxJqPY17SYVnMSmBz
bTX5ixwkZXpFVePnn4zYWoRBDus6df13kEVqBe8rjz6SKEBiU0tPRWjlLwWJeJvGJSRn7ViRna3b
Fkx4Flyld/7P5zn9+WxbUWPZe1gj29k387nQCygI8pQsTIPK1tK3P1xT/4BadO2/CEJsw0IkMpeF
k17gcPn85cRHUQCQmIb61hDhPdJd1BWpdY/z8U23dYKDAbiXwg2rk1srl7oy3uON1w2oZKuaYIGF
ForagJmLCgQAUzAwwop+VSey+2JSDB+ibBj3btXvbCa/ypqqAWa+fvOadlNQK4CArDmY0vSQSMaf
VTUUMBJGdh0w0ewBTCtMolIdfKOJDmaVZfaySXH/ENlh7fOutpylnurtmtfRXAZ9mqw6p0OV5g/Z
Vbm9/1Z4af4Go99t0B7mH2ZmqYsIx+oiw5qsmX62p7S9+1JodbB3Miu4jlnc3fFHd1NPKn7BaRUd
MHchr/Bbb02VlNj2iOu3hUM2k+n1454oBYzkuPACfCJmeI9eMQHgn0LKeZqoB4BMo00KubCte0FM
MZfsWlqparmD1FybEdRPrSmMVWj55RMjvr+qWHG+aRym46ulFkyRkYXFRSRHlraZHcBs+KQRH3bj
T552bzW9uUMRic9iQkXyhT12eHKodnoSbpFfaWCqr0hzu4NOyMvOMuzoFFR6vQO53Ge1t2q7yFu5
Rd0uK69BteYqA4Cs7/vbYVYadn2ucBFLI95GNqisHBXWhrGq7xVhXEtABwbdwjCJfLSChwLSllRj
ZJJt0lMNMome2C3CFt4QIvbnyTLbE/1UEV72ZjjmoeecMi+1NgzO8ckVI5tq7XoWzqFkJFYA/e1S
rzuSgJAU3oAjEBoAqF1tByPEypc5ckV8JUkXpJis/W5Kr6qPirND6Q2S/ZxlLEQEMTiufxvNpwgS
fcYVd68hRa1xgIxmdC9ZKij/yHD2j/jQkAUmWKyXCdfEcuSoauYzK3Q4vYL5HLNCI7rNJk37JkUl
p9aGsw7pE1E3tbmgg6hd5I0U2+nnwah+HpKcFPZKzSdnPZ+huKs4Z5CxTxwEkd4u8Zb7l3E+eYf5
DK5NezjkfcGZW5Kb9ZIH1IiY/ciJbhTVXedWxXHCbvEmALdWhXRdlvPa3GQ/L4ZkviPc+bYwJIlK
i3S+Q6owjcm1AyCKl6SScQXpfglE7mtjC3ZoVO7DqBfiBmuzHVBvxr0GZmYhyyIsQGwbapEPWleW
m2a+J1WdTKvk5w2al6H30ZcIu9FmqxaTqxmXx1JmHWdom1W7IqDIK4gIfCS0ZL7SJ73hjR3nEjdi
3LuNkVVuvZga3iL359RAKUq+0pgkpnmkICiQ4SJ1+gQ/nitW0Tx36IyPgR9VSyeL2hyIx/PWgaaG
YyaNckWG0LAPRJ5h/MKyVzL6EJOeJftEKRMZANqzldH5GPyGAs84m156FmaT7C0CzM5JmJnPUeHY
lxaW8i4fqYkkli5qNkDt/lc1leZ1ANP77KTqrnEzxo+aStr7ADCpWYW6cvdtGGkrDXs9XCVwDcum
33soByLr4miW2tValeJ84Us5N0yHKifTFNeMWjHaYMrs0qqOOsOyd+uPoe5edPDPle9pM7Bl6WKT
oVvZemzRDzT2eOuErWFPFA7a8wiP9UPog2MtykYQ4ZPa2lVMhbV3ncG+z5LCuZLcJZaI9Ph8ZHHx
UGLFiBeFXsu9pcVJu8qIm0He16HdCI1SwT8OSXNG2BOuna73dwyW+sfgT+oTA3zJazxhXWUgDa1N
Tw+BvqCXAJtIaPAyjiDYW/oOeYolpV2YtErwptrTDn7VYVJJhuGQuABwWF9qnwAqrCVxqOmvxuBd
J2x3D6T1ZEuyR+Q2Rp5xiHD6DrxonnNLpEv6llhOsJp0XVAIVGftRwiW9FYqXAW6a0vS9dJgy1/5
0PG7rPmJxLolZ/dolj4ffs1tJVe5Ht9qFdlfuSVnjwOMQLPoR8e+xvwaQUrHlnCoEShK3I3J9KWb
GthnS+3cgjPR0lalntAoF7cVYWum/lI0qY0RpVFnYQF/hAZoco/3gi92J2yJEfYNQlgq7PoenAk7
wEL6zsHX7e+s9z8IWrEItcokC1JQ5HuXLD+e9p6hPE+q8A7kf9xy8jBYB6n+lAzxCjVz9mTYpfli
V4badUqWz70QyXPQ6PUXNLy18lH377qWAGxff7IciY4Su4mzF3ZxJvD1JgHBZujHC6CGwVmnlDaQ
3iyjpljr3UAcG8ZDh8BhoJC957Tcu0EqDmB61m5qy2Rt1GJ8xbheYgFDmD70GnaUyAk+zTq2t6Hj
kZXiFvNYP+UDg/KAwGaIbBJkomDr25W2cQwiGhCixsdyNMPxSBpsceegXniI2F/Ioyb8+qtDl5As
rbTxTjmRGdaiC63kPi97iImpx/WdIPbauIldQnlA5fiIvTqeROEQkYHqg+9Kq5+MUcUEblkfzJgo
RXSt/O6dDPa98pJjbvTt0uMXHQmS1CQRMmF1kzpNtMtRQax7XzbbMpgGFifLWtDSgTwQAdc2Fvz7
lKa7LxmTYLwOptE/E84ybkRpFRvLUO4bWiZja3YxflNPSxXNFyNPLS1sJMjlUdIuyqLZJ7J5hZ07
T67+PeMXa+wlxnvbae4NjC3XY/nQIOAHkova5s4M6zHb9jRb/kjglBb4G54yKimWGrGNK5KODNRg
db/19KpZjEQMbnXlgClBYT61IekX2Es4iqu6qzmSunYVYi27Ld0gQ90EZa2tZO61D8AT04NTKjSe
qe6ppeGKk55G8IYFv/NV5oV5TljZF1oQOmcoJPMWsV2LL62tvXzru752TziudbWMvP8mnS5AEpP3
yGYWZjhFzo3mjPaupmoWWiM/Z6B7tl5hCW+wUhKllWydWFWcIiY7xtBoq0z8IFFbJtjTc7gQbZT0
7yGeW5Vwklht0ND26bE1u4vQ1YuXvhXTHcGmwPsgelVuJt+JCC9pmuFCJ2f71hVB9crni8sLYumm
n1zERFFevuhdBx8QS1AIbPJavaU3R71Ooukfncy3XrHbiGcHImnZ6o29b4DJD9wE0cmR5FXQj2UQ
WyTpCdXIOEyScN/WqJx9NyZ6YFDRLUyuczfqwfgmgIWpmA2zfT2hoEUHay/dPBVy53m1mLhP3eEF
2M9ZAssaFt4qM9qFtsj2Mh6rtQ28C4FMoBPR1eTGU3m3pUPSxvxQJDu7ECyyEZPsKLEpdrEx7Jgh
CaewKSAHYLb04CokvnJkpFiepbLXqWlEj2gd421ntmIJyFvtPLv2d7iEIjwI8UgG2ewu52cwKSzN
pnVHzt5L1Y0zgzoQ3J3H2V2Yc4hildSmTTdfuJ4TQcYZ6aPUxvKQ2tiv0gBlbp3SAKTIfISWd+wH
HyB4PamSdDzODPzBoyzXIiYLYtlKrXeWpJPzBKa5zoE9YaReOoonix+lWLZ+xld0bdYuR2Kpnsac
yA4NsvuzDHNrF6WcEGSaN6umdUYelTjb5SYod5vn9cLw0oTs74LTrO+rHne0WI3UDRxNIwjOObwF
eQ4fAmAmSfV9WPAVUXAkCCylwm+w1qqIQPE9mzLEXl8jjh4PIHxoHmv/jr18afqk3KRmRmiiowXZ
OUpNWiF7dK/gBNM6HkTEmoQBcFF7qTxGnnB5CQJj39eF8QMGl9gUs8m/o6BHJt978d6zRo0o1YDg
IYuqzkOeJylRuUX6SggkFpcqNYM7W+v8c86gfWVXaY92LNReHx2QJXhd6ynR7G7u6S1fM8ciu6eU
xTHR5tRNt0x2JdTLTrdiubW7ujrlVt7sKN9dlgOj5JDgajVtf4IUTYwtT5j12LKuXdF2R3jTXfq2
M7CPCPmDQcUk5DphkKY4DM1u9Hg9Ve4TVDMXHkfenZl3PgC5mzw5urT3VSol0kvEicCQYh/0yTW0
nF79im6jVAq/in+wC5v/aBUWtu3BFuskZfl/iSQncdUMAnqythrJ52thJ8SMhB3Ro5XAuksgHPuv
JYfwIXTyHOM69FKxiqJSu0VLM35gjCrrtbQFhbkxvrxFOOOVYDoWoRi+TkibEeFoXeQ/EU6dekUC
mQcAwpEEoANxezaJzWyI2q9J2v8vm3VoTkEC/c/x+MM7AVx/+y/vWflvfzu+N1EW13+C5H/9+t8g
eecX1wNzZ74xbJswbiRTvwm6cOxQhk6HBLpbQTsFH4jfIXlsOZQG4ukGfsdLM6P1v0Py5i8mLSgG
UD6eVccBQ/8XFF32z2z/v2u/NbhDiCPdFfOn9Q+gFOWEoaEAkbfE2uBX1EDgUFEQSg1mgBjXTp1i
7WMKIGlQozhtoWgIW8O+V8dx6IJ9EYbVZoxccXHyIVrp4+Cu8PsOOwm7t9baAHyq1EKj2ChhdCsG
RZj5gLzAqmjHfYZXaiGhtZ6HedpxWVLXTaVHO5jB6sZQZvoc0naJ0KmItmSY4xEm9/RI75K/z6ee
IWSeq7I8qg/AKZRZGH787s3zlxsjL1oR88JY1swTmjfPauk8tXVjR6Tyz1Gun6e64ueA53qGdyKA
B7kJQpL2K/w5DIJKmg/tPCH+D/bOrDdy5FzTv4gFBpdg8DaZe6ak1L7cEOoqifu+BMlff57sbh+7
DdgYAzODOcDcGAa6SiWlyIhved/n7ecmmU9NMyanGUYffHJibENw5buZ8tLBgR1IgkWHFWohSvDM
Ils6tGoHLAnVKaSXkeU1FSt8TFiiXbm8szRPN8wP7L241riZF8/wYhAFnrqoC+2AdLBrVTwU4DoF
irebsnWGVWzlA8w7HZ7c1Kt/c9DvMPaoDaK2AB+kv9fg12q8SsvslTlH/RqRJ7Y3r1U7unBMwqYL
5jO5VvdwT8Fs1mxVfw72EB7tQUhrRxmcmYBaO/egAQtW+JkS48kwCm+6WRw0tjtkuTDDxbLsc3R3
15rFaE/SjOpPoybKjBMaI79R9P0Gcbx5ha7zVZI6xtk02GC6kMsY+5IRzYbdrlgvuZzXMDPgyksL
j2SUDNYDY+jiu9H8FtZWa9cvWYKCbqX8po6eGQ4SKFmMFpKYRRJwgyekYJfsZCq6K6BkHfyiiS+u
RWkp6jaM+XXDFuJjayu0J0M8X8IIF0LH/HDj8CWtS8u3+DmkE6og10DXV84NqAfP6CfqKV1tiVFA
jkKX3x5ixyAnNxbh91xLvieYiC5SIAHCKxA8KvEmxEn/4Mku/OQ8zmBYhgb/MwmLuV7ipuvYn30K
8YbIlzDpr8SXqr2vLAtu2+LXItkOxAUGFjKfh8TJo2/khHEwwWdjBZSgdHAr0H7YZtueq0ovdBW+
yodhnyrD/MXsaP5c6F+fbf5Z2LiGsL9N5gK80tjB8WZANNIrAm2wFNlJByO8HnO47oBJlb3OqVjg
VUFpq9bT6DqsRoox3FqGp5xLnCx1suZijmDLpROEnSYeiKRB3eM+2gAckUvXBnHIPWRma4PQWHFf
T4P5peemwuqdCBOByBK1FHHgYtFlhO5RzF7UMUTy/Yd8mn5aJvPCWcAUcMol35usVx4m+JznaSBr
bhGNc+FDYaoCPmB6mXB1fXKbJodCttmhnkOswQylcObJ3r8DN2mxk+oKftYFrMW1/OH3NF1tOZSx
3KwudlJMWNIf6o1mFrtnPciI2qqRPI61/0VMoMjWU48njlo6/g3Ijf4tCtNxK8Fw3C6MQy5JCRK0
n93ikvpX2ELUGmTOOsTufoCdt+niPRveZ7GY1Tnnl4SGrIo++CLFHl+xeelSgbrE8T+QrNQbamN5
Xkb6DDWQXJKMKj/3s+1+KCcCGFle5yhel7Ibw0xDnp3H2YPSIxtJ9xaIq0aKwANirOqI5K7O14qK
IVn3nhWeSU6d9rNM1CZumZNu4BmFZxgUOSsqUCYUcGQ01FfxG4zR2vGfpU3ePOIZ/6Fa8vu5LKlS
p6lejY4qt66hZsLq3KF+ki5wzKLOYa46TvKzsmIHodIy09UP5g6XVH4YUxuUTYfXHA5utrcS+BS5
S3Kl2yD/51VvNwBYbTyFyOaa3jGOMpqcd/Laczrk2Gl3Lis5JH95cmtw7t0UphR3fme0zOrCcW1W
bffgcs5fmmgMYXZVuPbHIWt2UsfORQ5O9iTgB3wJj7IapW02bgZl+aelmNI9oZLJfihdvStJYj4y
t0E3QZAxGDTGFYB5dZHeRPBY4M/bevktMvxujx0keSioXQ/ooe79BWDDmtMS3SwSK+udexvkW5vR
r7vuLO8XkyUhlh7dAM/ElKd6uL13bLYnxitV/A26PHqg7wqfrBq5MG8Hc5pId/TYXevcCnQvn5rQ
8Ffaj3aNaEVhzJmLveOgy135pYAhiGWYXmnU3n0x2WB920Wuc3vR57E1HFTAscfwOBXhMYogHi9m
pBEWJck2ihf70BtjhJxZ9P3WM9L8wfW6AotKyGJ5qeP2i/FXEt9a3rh8gnIUbDyRDFsrM6vcILWn
6RzjnwmiOURth5zmvKhifCf7M92y5UHPwy22g2RbXc94Fdf0dGFGCqtTsry169sFK3HNEdhYX/ZY
lShMOH7R2THoN9VCXOOgup/hogjpXEprO4LVPC4Ybb4KZpbbSnTjYxtxDa2gDmQ7m6HlMWIg/Wkl
7DzppazoLgJNw7SdHMht44JwIyXShjbnAIfuam84gYkUp7FgT+gbIM1qO012s1Nx0hn8nQPRHKza
mnC6pFAlQZLSg3dSNXyaffMc6rINCq6TICqhLWZT1T1ot2V9qkLvqUv98RKPmklWMXNfM3I5KUPe
stAvD91oOBQDHctsL5Xe2ede/e332vR/d4H+L70Yf3HX/z9ip5eCPgrNxb+t0uNPGvp/NtT//W/+
UZ8r74fvUkwzIPKviplrFf5Hfa6ujnr2tg7Szd+dE3+rzi1M+IrcG3a5tiKd0f27YMYSP3xm6T4O
CQxGLuX5f1Kde+KfBTPStxUwd4J++R5d7B9/rdJNdOVRaMxU6cJZ2iAfTLgNSGxYEXfoQXk/3FC+
dtFs5jClJLO8usuokaK5jcS66yyH5UUNglBzpNiApwmTZ7ZR3Khp6LdCx/0D+aDMG0TF7MgtyHGp
OWf3MckZJ76hYo0hVe+1P0h9M7tKT2fJKP9UQzdLSN8YIhpXVs7J+rqsiQFPeh33P9vaB2y97rzi
kUc7BiWXom9q4EXtKo8Th1k1kloIby4PPkpCWn+fyAikPWH6MA5us0cM68EYn8o3l1hCPxhCMfzi
hyPpFclEvpKRPTx5IMd1ALeVmCkNJnynkR5zampS95iBF/aWvmuMQCQ3XrUluc+pwFuFyW3SC4St
JNw7xTry6gUIdhbaaHk5zxFLIhrw9ilGWXPvgHsusT44iXdFuyFhZX1hfFRD6GNjI1vjXIVV+tkU
Q3IGfuCYq7aqvOQ0gcde1iqfMY4WttdKciBatKgVVNy3SFfDe06rgAR36KsvazHs79jxsKQbQPoA
2CRsCjVXBhUVMia6Lx9JqsvtsBeGpS/GYpCKzEbip13EtC4Zus18g3HCeOsah1MGzB88GQciyQUj
flivLSfKYdx04xKRCTvmT5Wdj8BiMZW0gYNyqgquaTvfsma9F9BT5O+YRu1wO6BcZIZ7VcPCccCN
h7sVJF7qXTuQITT8kyAmYCvqcqRi75pLPRs15x0MBtZdzUOcKvO2wSRhQBNKC83d72I/cOHlmV0/
3WKxQ/I5N9DQqtojCbntrQ1Bn6RcTDXzs0Qhv1lmso57p6m2lSvmbRxlhNvMJOuYUelj9su6l6mu
kleHgXxHxYfPUCHlZVLeL4+imqYLjk5g9T2e/Ixl2V3KDG6TZ2j/AfhlN8g//e3A19p5XPtkLkEW
BB5Anr1Tmuuo41vSSwvmFdbhjYF77irdDY+ovKu9VcT+trRlucNLW7y0LErA0dqUUE6xMiW+kM4n
vmA8jeg6KdmLZIbKqFFmjIAQk5ifVA+mWicq6U4N3fg67JP5mTkizuVhmI52T0pM7C1j0JiSzZuc
2QaLwuHzZ+wWXZCdLPe2Nao1BN3pjmfd3pF95NXrGPzwt0I6cM/A1lqn9OKPS6SXF6MgxCf3rhhI
nTYMAu2pLl8YR1uvTpXSdcF8+x7iNn3xQOoyAhz2DnSvu9QMmcl1WS8vs1U07w3s+PsSX8YntlP2
qI3l+Y9WMkAMjPPEDFJE4cyiOVOy1YT0YANDeUGIIK1PvaBMZuLWOc+W1UR3zphniIjH4rcpSr07
fJbyI42NbhMXbghfQnbjg628cD/XYJbhYOS/vC4E2MiCzQLBabjzXerROax8M62/UXKJl+uD8GQv
3vLNpFTXa6XN/HlpTO9+LqaLh7tsBKeAIDrAjqf5OaG1wplT4t22WbHCVZ1Kljx5HhI4DXZo5ox4
CKck+ipoqYnoHqf5NfNLhGAdR/PellclM4Wc/Z21FZ5ZIBtgFbrMIniLOs0KBmAY8K7c6KEtovKT
pT9vPxBzSKL45i4mxgULziJD4lao6exaUS+CaLny/+seKhdWY1aZsNYthexqkTwDbTs3W5YqWM2d
0GmPqO8gW7V5S4tdCnxCZNK4zaac4+FCwl8OqyDjJaklvqtA9Vb3gNyQWLcKJ81qRFj4mKbAJ6UE
LmmSzXRinRc+RLnjvIeAY48krYUfhu4e8WZPZwwm1O41/px75i9Zsa80QMqxWyz2e3Y0HMjOJspP
GLOFKWK2zzJT/U3eZDGTJenHwL0n/xZ+DfVkuhgAFavcWe5ZuEWaXqFn720m+VNM0NKHlRoa4Frk
ncBLmtAcU31MHF+ecwsdYJINBQqiAQNNlk3+XVHOEEsr3PdZ2hotL9nIxj43dWJsesbyBjvVhvAV
Lf3mhlfBepYMXu7RBkIt60d5nPHOf07wzT+N3B52lO58z9q2218Uyh5YiMR6GgU91eKQvKsYLYPs
aOufxIDoT79OF8pd2wW+kRmEDcLo1u1eMrslFaLPWf2K8jvsaBNW12oDjgzIqrGxjXltucxgevgH
51QjXamQua/GmRJ85Wm32vZgmw9xPGYo5x1DYnpQRb1Npoz7VtV+c+vHHC+rRrgFMz096k/MEIw9
YmCOD3E/D9/2CEn7TmSgF3nunAw5UeGVN2HipNtygAjb4ly6jqS79r6svMIPuopMFji2nhNkFKsg
6XAs8/zL7BbEC56BuKiOMRtKzCngUH/hyWBpAgtRg8+y7eQEm0H7W8sazWfp5ckLdzaB6G1SY2fx
/Gr8ICLAPeW5qne+dP1nP4a9LFCF0Q1XgNmCzBquaEbEpYdk7MonkHLXcWLfpSdU8KZzislefoX0
Jaf15LaHpJOSzUNXVsex082pZ6/zMJnKOjp+nG2ZSDK2UQDzFrrPy1J2fCA+h+51a9+/un5DCioY
xVdTEyif9w21+qJymKuqfPDDxkGxZlvk38lOvvZWG2Mc0IBOVrh23PCQQuG9SeI4uc3DJnutfCFh
LfCZ7dC2IndqOj8/+/Og3n3sEmDw5Jvp5PVuloSuEgrL4xw5iMJYiD9hzckOWFVzpCR23SFP9jrv
GbLAUG5q3Nu7GGrhexmZ+sXi6CQbwmrrE64NfxPTqZgrgH7T3gI5e4TLPxzmGb2R1ZONFIbGNhns
uFkZaUqYVqLHj5lYqxSWI4EQue1l74rAOXamg632LfLbW3seYnZxwhy/QrfzNwNmj5bCaGPWV8mH
3X2WyEL3SDWy1dBn7kn06gn2ExhMYKDCG+vX1snb3ei0yGK9EeHPko6uuZuMjuFJlUf5Y8Jj8tpM
JjSMcFz2CfPIgvZbJA/W4o/TcTBcPw0q2JLRprQt583v+vm3Gnl7ArkyMbB+5T6nelqE3bBfmHXF
AeiwNgCb7XUBv2botYCKcWgNdf6eNFLzIfoj8yASLr1dmMK+WOIhuxDwwZvqA9FfV7NhXGSVPEFP
8C5XKfdTYiIuCSob/cvgaNgoKOMYq5mV8VW7hfnUZ6m9T3NoACnkhW1kxk6AOMB+0s4h5CMHF8Uf
L0h97goT+IupnY0uWtQCjAkw5MXFoRBoqbx5ii6d6uu1IcWtVyTiVlIqM7Ux9X3YVMk5W3KxzYzE
iAOWYwi4dWiRIYEy0luPYWVt0cqnt2KawAo112EG8ii32BdZ1N+QRERt1NLOvLhAgInPIG/aXltz
acC9oUB8gWAl1dqenOgFSh+EPhjhD7WnrXRtD1SJW9GUObJtA/joyrV8nk78drd6nuNL5PWkECCK
nFFTzNNyVO3YvHVSyGcA3zNbbA8EpVOO8qUjZfGeww78RME24J0X2NwSjVVSQhtM9nhnykdvmaKb
OnNbTlS06Wt/qRU6CyP+9uVYoMojNJzQNerNQ4keHJH4UvoYl7y+M/d10Vtbu7O7eI8Axi45NWdh
rAeMfPDzcqtpgsUs+C31UUR+wtB5yQa1oGvB9HaMT4LHuscyCheEh9Ts6xr25R0T4uG98uRMRsg4
lzeklgUNAiIoSalBiTMDUL5Tnczfu2yiQ4sBsRZ3XRmbhDE2oIXXbuzgwPKNEPcO5jFIy2aJUnc/
1cKh0uRRxshs+a+hN9DojF5IJH0GY4Kp5tB0eJZzpLtXNA2qNbmI164znGjXS1ORh6I1uYpWlDxX
BnGU90XVzuzTUzLfmS1FFbxCCEnb0OyBQJgeIOl1HvFw3PX21QWX5xXmM4UDjEsv9zV31fzAO0Nc
Gdtt3AExWHMchQX8YBz+AO1PE5bSV44l90Gir0PjEvqncpz7x2nOuoxqanlFvOoZrBqQMXD8pn3Q
sgZAxtlIcIz/d6cf/2NJFObvxMF/OyG5+YpwFX3Of8VR/Pdf/GNA4ls/PIov8IDAH5iH/N1TpPwf
SjDjQF3IovKP//LnAtOSP0zp2b5PJrW0Pen/A5HC/WFaJkp4y+Uex4r0nyEH7X+KV1YsTx3eQNOX
zGJ8z/mntfoAzlS5cFT2rc/zjHM8kyhAbDJeGZQk8S8GqvkRsspUH1xbDqDYZ2JLpWYLsI380H4m
0rY4lL2UvEKcqtOqSFizBa7up2bHkNd+9juIv6HW5l1hGG5/Aeov7cBD6Agn23FSOtAKJfjOnBVA
XNOopsPcFcj63CiONirsIZ2h+jNXo5H3tADCePIFkUdq8Ia3mhk5yjvlbwQI9aAp1YO5gAgfbfOW
eA5MoVndwKXtxvYnKsKaOY0NGTzgh43OJBr6eL8xV57dGG3tGvAw/caQq52zgM31BuJhGyux9qFL
TkvkLldO65zsLafxA5LWJkK8c0bUOrb9J1X5aqdFpm9qhfI6nQsaQ58QYQYN2IPoYK7+iABdt1W/
jJXSBFdUU+1RzVQPAnqSwoPCYHpTWXgEzxYsnOioSz3eNyNHPdPRyonOTYJye4dZdeSe03kEJ6Rs
JrAKxI7W68iwyeKZORTGbSRm2t2cxY24X4Trz3cteu7yHkMd+BtQp2G7z9KrtD6ulVgOg9nL9BiO
jLrWVRoK5vyDdJetPcb528jp7t6rgvHCVpCAoFZ5bAE/h2meETXOZGTYhjSZbKPN+JdZwY4Oirrw
d0Q5ihc3JEIA8W0UbfFQfvv+dBoMDf6+ZCfMkQrzGG/63pjU+OZh8GSXHl402ZErSUjNVatU+Dc2
cVQF++R7GGCw0UzsEFUeptOqcU29w+fc/bKL0dsDIY+TXTIuiSCZz+Q2k7V6ggZ1na97FVvTIunV
Y05TddYhDaXDeGWddH3+2GdQ2AabsF9ka/EuI6bxaHqAda9MiI2ZqCNAMR9Dg1iewpL8SDJl3KOU
KROG1EADK8y7CPldVnXd4+xQFMZCdnds8sOtzjRRGAArHBgjLQvbqoo9qLvAPyKc0jo/4yFUa75W
u56LvDi32MyyFVHXyRNP63CC1S2gOljVDEvOT9LDHGWahi8c1gUraOJB6Rcj0P13vgrHd6onAyV3
FYouiKxpRgSsccavFkNjAYG4sCI2+2VKEkINZ+DJmq0uTdrygnct+eVaNIut8upHogTQGMRDyuee
zjuZRs27h/39kBvLcEPG3Vc1DAiN0YWSizCF/T671makwxvZW80w8VFXs2BhEWfeRz33AvEviWMH
nRNPTLbmsIZNgPOGbmfjjs2wNRucJ4uPxr+dCFUohJ1t8yk1A6eN8j3q8aNZIHF1dTHdyKt6MDQ7
muguyi8RA4NjV6dsRubYv4vsJvx09Bj2/2dUO/9yKfA/9lpEOsMN8q+1PafPtvzsP7O/3ol//K0/
FT3qh+taoDyQ5Vi2Yhr0t42B5/wwcTuxDcPpBH70isf980IU6ofDnWdyV/ENePCT/lvRI8QP3guc
YfwXh/8j1X+yM7iayf6u58Fk5SrlcbXaMKIkCu/rf/8HXY/EV1l7Pcm+zBD2TE3vZJh9w3Ddjn2G
ULm/H6vsu0E0+0ed9S/lbcr7Z32blArIFKIlk5xPfhaETv/4L4OWsZlHAfuT0LO/QlRHK/ZrLOC0
OwLotBBu01fyE7CHSIzlYepqtsPkJi0EOnb1NzYy7KYZ7h/4shnD20rNKAQtB6QIGpzrpD6i7YO6
MSuUAA214wAUe2u7IfnkLRnQixy9oxH1chsxcl3YKNNZoIDGJCnbOx2RACVt+2fK0HiNPmObwroK
eiMm47opH+biKmCIzOuLbFLOctI4U5s+2JOQjAmn0b4ViCoueSSyW4/181Vfm4JvV+nVEsG/F85T
t4OOUtzPbrWBIXJm5NndZDUfBYYGsUCBRSlFc53wlzWb6ICwyvGnLQ3nufe6qQu6QUR3CVLyM/YS
l+RQTEoWymROJ+CsgdW7Kf7QNHpJtPAf2L5P6MBjrk2SPYW2hvsZ4tw6rHoUogghIeW0jrHFv2bj
fLsyu7TR9d/hBCyQkAwfE2SU9v6vvtbsbWYtCfZtfROyMGGnAMV5xtZhbccPHctPyhRnJkY0Z8rQ
ruCOXEXfKj5RNRIiQcLj2eJeCGzDlbdTArvXTBYiUrle3Qsydi+A5WGek99NAMg6L1OkI5bDNOYs
Jhpo+IBeShZQBM7vKmeYzmOq+i0hQmVwDVXYpkm/nErsw88USd4QNHUHjcmz3eoFURZ6od5QRBdy
pTC5VaNfXSLLrtJV7GQkqWAr64HllE0ROF1N1YRUGByzaSaM6+PrrZFbBDiz6Yh6HFNkA4HiJZjg
jj+nG0iipfhyDUrlTcQgcTO6vQ+mVhOiZY64FIOBnNXAFQYhZt1IMLoqKyzUEUIqpELU1zsHN3RN
0kDtvrgzSUqbJZ0xl0CqIdl26ilIZNuRgFd59XwIi84jpa5y6xssDP0HgnIepKwx30hoi7/C3qt/
8skkD11WXtUuLorRZs4Jrk2cIX5zSlw2pDklEfxNECYraYrxgraKf2WxYlx6YeYjXUa9/aFrpztK
xODggRjCI+IeU6hEsS3mjZVM1pbchvnRqhb7oWRrgkFaWD32LFr0gqX9OP1sKL8Ze0e6vh9D4X90
qopfGe3lauOotiJaGS4OBLZIvow9IeweJfC0GfAzfRbgbp915DN1sEhb+2wS9C2rmpt3LUQLekeS
SWoCe2vEl9El4jHu6+KFIM3wXqJzeCsHZr+rmPmmganaJk87TLHbOQKl/QZZR/FYycbZdBjnsco0
Edd8iM+XvRICF3sLTwXVnmxzQ6zlhEQiiqVcQAFYagcimPg0EiMEOm9S6GY2MOMuzuL2gTVFwzAu
MvPTwqxZXEMWOUUygh01ngtt3M01HQC6HJW9pLOB2co0ycILZOlVP02zZakkaaD3TC4ZxZMr782c
hJZ3GIC+jiwFr+HOdarSi1Hk8cXqPXdAHu96hPXgH7lPWDC98Csla7eWBUWmquUmdGT7GDHOWzu1
g7zGdot7HETpZqmZhTLwn5o3u+M24TCDgKrp6D44zPmNkgFr0DZ4gnB1kDCGHwDEhSobsXQg6E0V
00J5q3vGHhPfqUHc6BBJ9sZ8h1f121hyLIwhGyCMgst4q3upX3ITF1+wECrbAfBCWLU3wVa8I3wb
3SAaXJcoOGGU5ObMJrQ93xouBvDAZwW4rQg6MM147nTpvGmi03410UK8Hw5ojnRc6gZuCJDOhN3n
8QJtQLVzdBChYZE0acM/ZzBjxhcckZqMZrbsx2qUUbzrcrsH0mkMbFbnQfB2tVWRYCJpUgPyWTtB
BY3gRW1Kqwy3XUkg1Up3WBwcu0npruqF1V9oX3E7PDgtgT2k9JDWXBlFhkGTQF/iVGeXFZ3b8UeE
SyrZ1BLt3XZ1wV9Ry9FHCBrUlgoBjrXthzcaAo5S672QHFMcR4LhTugmOYhNRkZ7Gc/coFk5zK+F
Ehx6kUr0rdNnqtwUGSf1Umb4++DhN83Kdh3vV1VK+ThlFmZ+tkXA8cm+QBkzeO33PIzxPcIXVIVJ
meL7QR54qwottvygY2BHVfFaMqgkrV5VSZBeqaiRvHZoslxOhVWSy+UN3cnj1dvAKDM+lz69xRAb
rgbPvG770ZGikXPzWyccOr0ZiOm4egpxA6L3dz1zHyJVYPE+qPDTjGZGq4OkZTnT0wC8VXKMX00b
v8+6UHmCJ26a6EVqwc82hfH8dmXaPXH81heWSrCuzGl+r7ifzxLwHcssYNnvxYCdbCW6xZNI5CXr
7jH1WEVag2gI3Z1RLgXSMNsPPdDKs3Mfb8MptC6m17lfDBux1NBSPbu8SD997BPMAomzZduT7yzy
s2rWEUQFApwAIbKQ8YUss+nApvvkLjFB66R1n+BweawqMdCRWll+bsbRe3cRTH4vGdYtGokGQpEg
6ZQPLo3p9ukPJ8s5LJMzNkEVIRGYRS0/uV2SeylEPHFskYM+rTC3L/m66mvEqrTdmXeHsae6kokW
ZyJxpSRi2LBbBzUISQsT4CpeAlo1HE2IFCw/vK3G6pWIZsyxwJrXuIeqIClgmm0pDKBnD73hjSe0
zZLwHBt7eTMD8gqKkNVQHU9GDR0334kinNvNUBs2caiW+tlYvX0qYxB0q8kTUYvEAJlcYxjyPDji
vZFh84xzxflNZZhT9p7JY7bx4TaxBUPuSsgDY+RvJY2U1cjgQSTGPcIgxJYRCoTRZhIJRYBI3ngC
Xc3Mf2DPqrV9JfiN9I4bU+GCJ+Z4MqrTMDrOq+4bniigYyWFEISzwCGEat/mZgd1nx0OfWk/ie82
I1qUczqP3pK2JIPQYOd7J5MExIzJ/GMTJzNNrxcjBjlnUzEf2Rkav4VJO2C4ZYOaQRBWZlC7Wf9h
N+N1XjEkxkdkyEoGdjenn5O2OQV8q2C7IcgHfywx/zn7aKypTZjc6Gcaa0zaOJbt7sCK2UZYEoEH
RtWRztHNbJv2g1nmi9rmCFuYqC5506KoJiy9l5b3qwgtYj4xdF2x0eu2qf3A7oXcuqMTv+rJQoNM
KAMb5aueLyPsfQVOsYUXxrAiwFLHnroXxs9ZRPW76QbodnC6OQb7WOz/q6hXxdZJAAR2IQseJMr8
Y3Vk3Q2pAoom3Xhd2Jix2b8zlpjKfeS7U0pmn3Lu09owWGiUuMu7Nt94fuhw5Y5QEEIXe4pHaBnm
uOInqjfxypNof+ukSzftmJBN0YJKvjDAas9pjN+Tr5h7D4uYE8TxvR8/GrMoblgw8vnxUrxMLGBY
79r2Uu5Ul86voaO6JxDHJIwnizvNa8BhnVgJwie+CdgafjoxUXPsPzF4sMOhBw/g0KlvWzFqw+cW
x094NCuuWGRUpLTZqFEZzKTMIngKiVPVADzEMOvvxCCMsV6a4lEvHCqrugxREZPO5cFrhDdEUdn3
k7UfoMAh0sim+QikldF3g42dPoCbFqsj23fXIT6Ka6xs8tuCar5YZ+zGzIPLNn8TCZk81hnw0Qrw
42bxbGZghYcYlHmDt9HAIoLKT202MM2gTVBe0jhmeYjrYZoTkO1eLH34CSMiFDucqQS5KPNmHbUj
YR+VaHJWIKSnsp5GEtOtDWfmo/Wc6ln0RbGtEzOTmyGrzdO0TPHIDv26V4nY+b6yx4TMdw1e+8o8
yBerxgupigh6oUSEJk9mXqSt6sUc7PxJY/b/ZRVRtWc/xFR2SHhHSzrjinV5m36mZHuaaIxr907P
GQ5A2yhzUP6RKXCAgHZnXujPLZ+yQrc+6tDhcHAEOhunqpr7VukUn1nBYwgUk0BrORi0OZ3Tmhe8
IY04oVpnuDi3jvnklSzbtJF/oRuZPKCMCtt2KwgmWI0FCvO9KyNxlK0Gs48kAAN8D1IVF4Uyj4gh
eOBC3vxDn7rtpSOmCnFG5rAbcVzavHGq0UwhYzxoFbl1YFTpL+lh0oCYn4gTXbJ7L9MSMQM8GI1O
vkD6fzvF2fMVfbfuab42lY0wmUQU5BmERFpIgVfakncdL8BdYoSK4Om+Drwc3VmF7WxNdEOHxtnr
s80AL+WaqozvYMA7AmTE3GZ2m+xKDAj3iIIKiABtte4FVSPbtbkN+WdmJz9XpUg2Brj1FYtHiosp
lXfYlQgdqfI9aFX8JtSXUZfpSylb88UsiysaELHIumi7V3ASpGInlnwYkVtuUEJgUS6nOy82Jjg8
7iD3lTP5B4JkWX/q2oqw3Bq+CQ25SU74NtkCt4kCC9TmVzFw5R8XHMZOUIU+rlUO7y/VebtGmd13
PcfZJRqJ5upHPH6VMaqjh97/zcLq/0txgQYeH9DQ5hV/xBmI7azRNbsbvmJmXBaWFx7xdDUBlSMD
9CfGwyY7hFDVZMbO4ukqryPHoxxWTKHrPQCJ8bn2muwjHMwF6aE5g7EavLL7sDPaIAqAZLRIU8Hf
vmvTTDMRdwi96RMnQrfA4uyXIfr2PIuYynKMfS6wdBLk+Ih6zvQ2H6kmM5YB9xDAFXk7inHi4Go2
0+DJUMEPJO6ymxBUCuvsemfWCqgh7gvFQaW0rXFK2LI7QlPg2On51t57iVJsPQ0YadfTZPBQjDBV
XOAmtAlMs+0SM2iFvStACE0GMLwy+dEjiP6q3cQK147lZ/NaAUE++KM/+fuiIbA2wE9OEQ0aU36p
iHjBhEnOqdOdvsUhsmA3MmMK00Gk2BwLpye5PGLyzVig2veDbT84vclSP1ImR2KoiCxmrRrNQV13
QBKSwptd9IagzII0L0cLqYllnoe2rvd4VqieehWztqyMqf8J5kj1u/+/NvxfYhGSP8Vg79/MR79a
VoZ/sTv+8Vf+HI56mBohl/sCeSWyfcH88U+7o/OD8xgpMyhB609I/d+Go6wYTboX38F9dF0W4r78
0+6ofoDDNRmOCouv5Vn/IYFQwlX8y3gU0TaLTPaZTGKZ9aHP/suQ0h+QkGWZgMYe9gwqK2qyoQIN
FCD9Gs5lyvwKv7l1knhV9mZh9wcsiVkeqMKv8VEb/aujqSRXJb77N1lzMfCgl9UhD4Uk8k9lim0Y
A60toBB1Z8a9VIdR/hd7Z7IbuZJe4VfxA5gNzsM250FSalZJG0JDFcngGCSDDPLp/TH7Gt0GDMNe
eGHAm4s7lSorkxnxD+d8xx+zm9aT9bc7e+rcVcz3Tsr0GS+oOlMsugh1RokKpiDf9pyEmNmzhkwq
QQdHamCR/ACI80rs22xbN6Ej2nHVwwmTq2nQujqPTNdekOCJfAsnHNngbMbnuZOtghRn+m9yHm3U
A3b43KXGeIG7BmBrWEZ8ZPEkp8EK/SW+Ne0WB5iKTraVz3ddNVZ6RdIxxCFScN3hZFNBmpil4haP
zpTaT2ZFE7XL8ygrYBMiI1nlicWIdvTYOW2A/Ov4kgawyrdeOqPkgq0IGKQDhjReEGsE3Y3tuz0h
begWC9JycoDHdCQaYTFlhLnORNlgBkQIh/grY+2STe0NeTemBw8RlNnad5YO2yVJh9IL+hY4FTtL
d1RbLFoJ7eFGGjF0wOAbm/w7h1jQYDFTRb2ZupzfwIUc8suk5rzkRswatwrcZ1qJ4TDFeLxo5aN7
e1xQ0lkkWr3tOrN+sR0H0TpSZh3v/aTNT02rCbDGHadfyT4NHpjS+d8ca9ieFDZsIJZK89aESQjz
ZBR+sUV5ZL9Jlak3CgMXeBiw5RDFcolZxg0CeUY3Wz0R8yLB1YYSPVZDhT4eXd2nExx0MkpIGeXg
9K6HKLlDziNA5PrgLWdsdz1uh+Xk5WbhEJbpMjvGETfeAU5LqaI4rxM2br/d6yEezx4VEjMaDvcu
nqOjOxhi2sjr8Q/nzOL/406Q1+uh9E0nX49zVGroSMsVMl6vk+l6tUzXa0Zdrxy13D7yehHRyHWn
Lpx1zmxquark9doym1b98a+XGTdSFZPivVxyAI4h/dnL3Rdfr0HTqeKHcrkb7es1yciN7+B4vT7Z
cXCVJja36pLR9aOuVy1DLDTIsafaDRNEZiIrNuNhvuIbXT5FURZuOroPoDmEy9q0OpSH4rVBs1QE
CuunascAvrcfNWfTZmyg0BcUExzSg9mZ4rWyR5O89WneBpk73yRRV9Ayc/FLbcdyneVjgF0iqnrr
wWqz+rUdIeQMKHosbxgJlnVA2iBDLKunJYeqL7pp2LOv7mZ4aTwpMhferanCjBs8rMyR3wCq38ok
4K35Yvk/39gDfKk1G4ZSnQw7zqdXfOawgOU0DSbs/0n7+W5Q5NHT9pFMtvB/8+wrNmT6OKrK/8qL
EZEwhblMjyNok/mSETlEHhVfGbWLvAbwF1Wrpu0DTOeERx8g00zQOFXlrWEY4rWf+oCZs9N7VCia
XgEyRmoryMj9xDG/iruUaTwYUNhF2MY/EQqcqy4UeIOxVTKzWDEUd2icFRASz+NPu/pXr4kmUzUK
Al+pm/vOHvq91RAC8P+X+3/ncscC6Jg2XD/b8fkb3t7/chV68/nzmaf/fNX/pz/gLx8VqGCb28dH
tH11THGz/nXx23/zWIiyHmQ3Cv8AKdBf974T/M0MgLf+hSQOg3+ohBwb8xXWYstk3MEh7v6PVEKh
t6iA/rEWNf4dc8CP+Q/3vVv0Nbd9nx6KMYD0z4sn77dh4QCBqZSLvIXJZmBU4V45pFebPSgU1Cuo
eQdCI+4Y+CImJfWbyzfQRfsKAlbddVE4gSovF8JbBsFz1wIYYC4zygj+iugegtx09ToQtIn0enPN
mKtJEjToDailbQcJp15h5MXqN0BkaY5DXbu3QBedU6Gt8XMgJOGrSXOv27auaPZ1WQFynYkGIKB4
6HyTztn3P5BgMI126kjDDsbIQ6xVUQzyCAgHMBD6AVcQv24RNi5CP3tAqOMlazG38tljsvuETlGD
9lLEwOup9d/tKQeMqS1IL3qwcRUzvi+Ij55k6jNaTs13KaYcA4tjEEUZ5X3wqKtsYGohnOFbeIZm
tl26JxCzySNi7morw8x+sj2h3og48+7RUpWP8D/9PVTQ6IDced4PpsZdZfhBfDOw1N4wb5FbJ0HD
bePGCDnD2lJxuqv0O8KblR4MsBER2d/+AN0qH+dzY/iMjQgtIYczmX9nGGVRoiaNfJ/t3L1ECyt2
m3YixqLpiuQFbBsaL6XK/j5tIjRWQuhxhdeINYJKOIjzIiMdTaBDecGwZ7xKVGT4zcbAfCFHOeVA
9OWUbzOjINbRT+0vYY1y384hWal2n8M2NpPuHgocXOu6qcpgWzZIIBFx9zcCZAUTTqetDgEmi+7o
lpKo6Zw08Y/SBf4EbVJ1vxPSnZ9BE4+w32HpMORktbkmqTu8rZvWZ+pSV0XBhMC197kUXXTxCGSR
256AaL1GyEwW6mQUdXYLZkpz+OPCd7diqAxnh28o+F3hUSGPupBevEZs0sxb6NqFBTcYhB+es7b5
YHGT/jLtBpfLMta7lJ72BvwF5QTmF5rlePDIMSFYjq2JWmcuhIMVNz6v0+E3IufVm9JHj1F3y7vv
J7/Kzon/wKIKplNb2PHvPPb7Qyiksr6bYmBOhODfGvZOGc88Utrr6x0K+7S+R7hl3agoXdak+AOO
mBu6b0VOCIFyjao2JuPrb5ClnXFjGVmdbwelog+3nmdxjyiVytbVsXcU41S+yD5xfyZvzt416Rjh
qo3AtG1gSBVrCzzlTphG7q5dEGLHJg2YyKWYcolKNXB6bmzGcgzb6hxLzgDuGzq4OTWrdJ7C39HQ
+vYGFrG1DYOCJf2g++DBVHFH+T90w6qgCHwyiqj7YuzTvRGeYN65ep53nur6msWW9sNV00bDwyIy
fhtbj/GVNwLihHywG4rA9Lc6FDACsyEetqUdkSEAdMLd2k1V8F5AFliqUuT1E9wqKHM5pCCwYVAi
CJeoUTgm2ibkzpnxEVaMA3HCkJyeIvkmxzjwtxgGByaxhWYmL1QQremrcerkxfTI5Z8SVAuJIgY3
Nem9TAyPm7kwjwG1WkV4g7Le2yiff3qjS3zcBSbevLI3bhVBWbcRDj3SZWs3eBzLJnsawFUzqx18
62iO/nxwYdQ+ZuE4XLrE9vtl2Q6VuVaQjZGYbQdSbXZwsuPnXnHkkFCbzDuGK/ABvKhhVNWbNBcz
A5OPKhvrC12cB08GM4aItD6quJ1/1OTU4Xpiymrt87x2AiYKE589A83UoYNg9t0QSv3O9sIeAQ9a
CCY8DTiUM7x/4dOhKTGnxLo45ditAWfI6WR4egTlCN4PW2so6k2cGeT1mXBKwIdSdn4VSE6fGTvx
EEpTReyXRyk+LFhMvzw5jtFKypZ9rK1cjLmuz2p+XecirwBHtHO2txuzeQUSIfJHwOKwxnqWAfdh
Yrpyw1TUtM+pYJ+2QXRmLbVov8RaN/SEB7sYIT235tQ5l0Y27S0eMrZWI5PTfEOQRnTXyqD40mmS
/knBo2yazsyeAQ3ALIgIBWPlwXpqL2QsQGsmNVx4NlINEs4gO7iVqQh6rqU+sa8ij9iZ4uKkxsGf
1x4FNdT9uq/vyMQauo2VdLj3QqzzYwOgeWNMRr4fytQ8WmAsiMwgaYYAMcvTO+k44oadDiA8u4aP
QzOQ7gd9aZUmgjmtu7pZtThYbybRsN0vy8pbmdDwUc36pfhiLFdtzcI5jzoD3yUKxa+qeYUPTR10
b04RjqfeoOLAHt3TNnY53tMVW9tsk5CAe+Jr49Vv6Frot+hKGfaF+74rZh8IefHO1Dg698uyXeQy
cldpFRWn1BmJ+7ZEK3P0l7HHFHYmgIw/gbFvLfyK+sG26mgVmsP8U3AbcFFn/XNRFeE5mWtNWHQc
rhF+9o9VrAa4hUW2d5LeOTkRAeTt6G9mxcIMPgbS5r7rXhztOQdoywFf3QJ5PQFR7m9yO+NhXaOU
vVeW5eyo7hV5s0HYnKy4L7e4ztQhjqyZHTEmXrKsMqFvZkf2JJ3WDF6HOL8tPA7yrRgrQuwII4GY
Q5a5ga3Jh1O0TtlT71mr0N3PmcyPc4bm1xZuQVYdpOqQdfh5jjL3rFIVEsHXqO5XxHO26aCbfftT
bFcMG1x5ccsC6G1pYrDu+8rCfwsAH/2O/RPxwECKYjgtRURrUcyZy5I7cQ+m1zcvZmVm+1Hx8ddE
af3CgYn4dLTzmXGhj8bLgrN+V+URXW/WI9Np4aet/bZvPnqUE+u5l/2ztLvuWydWc+8jCYesJMgZ
h+ud3HVeF2wdzOl7hhcZ1jXsIT01lx18lLNDUm+tCv3iuxnreISbye84lemljA1C11UDyZlVDia/
kUadCxRB6TsxPsE2GAihNdxlQSbNOHkPWPTArs0G/WGwavnIlcv2V/RCvzaR8Pdp2ASXyPSdU6RH
hHrsze6h5ExftF8AYWdkJZRnGZHgq6EN+2f8HWibRDeCF3KAazAo9abpIUzacMcIdXydXd/fIW8r
P0mQpNTAQg9tsu/isV/FbQ+4wpZOsuejGm8saBacDlncPmSt48tFXEKL3M8FJ5UNHavYNpiCwewK
Q9V71WMEPzZMzBPEPdovdoWVWndd07hvdjAOdOtgv6ZdhqjBWmQQCZoEuw3PWRLMrNxc3RGZg646
XbMBwVOjGNrD9p7G9n0ETiU2bZaarKfnIr7NfLRczDv89MgTEs3rGnPoZ4Kmio2IF1qPOdhqoiBD
jFhgvQUZcrosXl03lY+NLDqAevRDj2Jyow3NM0ZR2wzOWeeFF2sBFWVXZhFPAfwi7l2cooGtsLnk
C+IIRjxCtgzeGVMHUM3VNrkSkawrHQn7AaSkcfDcQ3DlJ+VXllJx5Sphte+HW/vKW+JTgFipozrY
+1YfPhaFTYzcfGU0gZBx/wikN2Qqond/IdJg+swWsFN4ZTzVV94TDAHYTwCT4UBJJXVDroiAHNT1
KTHbIKPspM4e+wUjNV2JUtSYDJ3cMGNfCGxKhVWHXafliKIX93fQ6Hlw3AVRFaVsBAn5ytGhXRFW
C8zKvHKtqHpR+bRX3pVuFvZVnBTGn0KVMzWaao/RlZI1oyXfodYDOoz+FSzXAtTiyWY9LxfMFgl4
jX0vCOPaxgMmDf5Jo04ommldXTldjINgdvFUAdtfQF5YRN2jkwP3yq+cL7yWC/Pryv9qryyw4MoF
g7zDa7IWXFhzJYfJKC7+1ADQH1uHoEdKnRwaTkyyiiGMecOIhw+5BUbWO2DJ/NiBUBabVICribHj
JqlAmKnZ5Fm8cs28BXGWLrCzJW+UAn9BoBm9BQztykWLr4w0a8GlDVdyWphi4E2uPDVkJ7DVEM3H
J8KC2+/pyl6bXSuBybpAlx0oNedwITE3/aLU0Quf2TQ6tR5kIHaMUki5a2259a9kZ0L65qMrUrEy
TMDPERuvlVpg0Lxo9+Q6tkmqI6joCFv6Lr/yo72+YNc+xmx+okEW6HqSbKNFrh5RWRodM7GFSx1f
EdULrBpwRbG1ICGBBAoj72yWYK2p4OKtDemaOjXao+yEbL1gsN0oSj7stuy/pisl28iseJMs6Oyk
q4MH1HPwtOkOxGlcINszlDAkVoC3tUYGkPbWO7aX9MHLwHMPtoYNFvsesR0SfLfbFMkZE2DO+w7c
O0yLCB7agvyuc5MBajsjIIKT7S8VOmo+kFqQwgmpQOXXJ4JqdkGJM3KLDhll6Ta/ksZHIt94iBya
43aAzmVfqeSJMxfH+soqNxdseU3swo4Szr8nONN9cucr47wz7usO7vnoA1dfJQIaOgo+RH+cvPbR
X2jpwcJNB+YWv6e+PXO0xQrwQJRkDL7Vgl0vKrO8Y2iZnpw49e8x0ywj2jCcspXjm5DiF4J7urDc
AfhrBmmVEJe2kMm08czSgJgHAZ4Z8ASnYuHCT3aRvbDhHe4jdKjffHete+tKkl+Y8m0kwMv79sRe
3xhd683uYdAXVi6OnvTFbWCaCF3NhVZf9uzTM/V3hD00+6JSS2IlhPs4lDgOF+q93fjNJi5cfTYW
Jn4e8EPwfQLL5h2v/a2HU/6t5aoDnDTKYkciCD/TxJkS20X43KfKwDOtGhsAQTr6O0adzTp1bH1b
o60G7kLlggYxSKtnq7QwYbiDuK9d+09AM8itjDChY5dp9DeTq0mZ4frcDjlqOBBy7vgK+DeFMD3L
OkQ2VPc/uaun9b/SnBeoip3i4EweFU3Rar0xfVHjIZ1S7zJzpSiw/gINyP/KqPH/UsQ1Rrv/cmx4
+/mTTp//8p9llf39l/41MLT/xpjOZUXIMo59UPgfbBQMKhevxOKu+KeBIbbC606RSSLwp6t38N8X
hZCXyHOCvEQcqOOFDnjd/wEXlVjrZTL4j4khNoRlZMnZjJciILtngTz9s50hswBdzxSXO006krsx
W+SjVtemF4bf5ivxg9ZbKJMQqjSX302GctA6MQvsjyHF9VPl2tmllaDdif6Y3B8vy6PnueojsNA1
Pe4NkgKVvia4myboq3X4CvkIDXRj2xttOCaS8eJRohd6CTwga3xvhktTma/ouLSB9GV8zrymfE7m
qvpRXuBcWrMUuPrwQvvznB7bpFT3Za4LaDiBR+xNV/Rls5apMSOcnXrs7lPHhqRn/BmaFpQGBG3T
Q6RioEAi84uabZ98rLRfzo9D1HH6+elcPjUA2YaNyNrhqbRqUklnd0TRHSGxY8Pl2ulwtBOGkCtn
iJsfwwgVBmhZ4R1wSrYNN/TvUXQaYjsIsBu4dvswTXnz48JByfZJpPPh1bCS6Ic2Sn/NFhklB7uN
JIlGAVunRIyGv8uiCCmwAWulvHhhUI2n2fCGPz1RvzXymVJ+FNy6z7UPgsRp4/DBdhETjEIAUXAc
GH9G2ph7Irv9LxiQ7nB06Jk5guNWJpgCfRNipm7IzxraemeJBEwKaygGGCwnnt2uzt5pWZMfJY32
W5tdcFcGGaV+F8qe9LQxcdfAjcZzwDRwj1mcZA7c6uWed8XFbuKRQlp0cqD3z5r54A05aEWrT24c
uFz5x8zD8Ygj1WD3Q8cDDomtFTcnTPIZmfyqiSfEIia1/rpRsE/J6+GQdlhweW5u23tRjXhgGpHc
uFX+rUqeFl3JnKSfssZskSXiKewwJBLyhuqs4M+NFtdfUxZZMBJcXX+aC8OgAwvxJynK8I0MMR5y
y4SF/pE2iGrR9Q9rSqgvx6rhxSaDcRDaSzbwbbK9KeY+3fRllJ39vnxcOHoYTdr0xvMm7yEIvOi9
bYvsNkHo52+LaU73sg9CJCIkakP+NzBq0oaC07U9ooJ8RrHJOnBtEiwVpvicerfQDOHSQjSnrnKM
fRDOaPEncJF4IYdsQ2n8SBqEuc1qy5V7V/T2iqXiM/ya4b11A3DiDVKoNVW3l66HAV7aDpxvyLgh
LudPQtdV+gbMJ83WmU7hjiNrFfh32L+ORxNUMYo9NZPoV5dmVh0tO6TmADec/urGjNkZ8dSMLhkw
DfpGTuAiN2k+AnmHPOKkO7jKtlyzhLcuHeD7AFU+o3cQRWS5sCEOjHgfl8p9cx0yK+48t0vbHSHd
qdpRo1vexiX7cFrn/uh4u3HSk7kRmg96RXQgECyKyaTSd64MEnVLqA+ZNhalN7HzEf/XYxqOoF6m
ILbGt56nK1yZTHn0Lk4MYuuyEYnRupoYAa4aCKkHsl37Z1MU3hGrWyKf8q6eQubefSR+j8PU3AzU
jXyxWRYSMzxbxSv9mrLXEKTy38XYRy0qi7htVotokaraC0jotcwZMVUXGiz8yeKG31nOxR+qFLku
fWdMtrCb8+7Ik4nGssnQ81v4uh+QhFZ3VeV5P76hK/sAbzvKTsr12i/Mri3xwik+BoRdjOmwT2Uc
Etp+qXzXepEu/FUElpa7o59A0mc2MlkvjTZ7R9S869mKPAYPHrZRkHCkwK84IMGEKKFkveaPWG5A
nOG9zVMHW0ahc/BMomrH94EW73bAfPNWB7ilaUTHCT28DSSpdXBYIVfSW86hxAD9HI0Hur7xdohk
dA8qA9FJKECHCcPXD54mh81NK/sRHC/8iRGjF+YtpjPHGNk21RKboaMlp+zc9xAdPIM1DoFTzhtO
0nFH74P6vop81JQjasuSK7LcasMkSScZCjxZthY0rUYyI7ma1d6cVHTT1L2BCbwDfEfCC4xpt2ou
BsOLT0T4+gOLmfvapVZ+9IkE2JntED9yW2bhXlpB91xbQn9JlG0/2MTG57Etx93gVU8RxxIJNDKI
YHcN9ZNAUQ0JC5faSZLVaO5RAiUHUpmcTYkVZE+YOjZjz+0HZ+2xqk53YTHM7aor/PeEeAr8zBgx
zrk/hX8izFirKqtd8mEic5kglR9BUGIDq9H8jDhMlLMthiKE4lXUB1ZBNY0eJj2PXERshHVPTTnh
x+VwTRC4wYq5UbFw0rVdMRW6mUoHnkXXzvWLLMYiwJhVLr63oXGPjauGc05KfE9iO7RGUKd99uEx
rn8YmC7fCplHl6qFAI7kNfzmam5vyC7s3qHbIK/EutycGp0n5xKOEq8FqO6j5+j2scwI+EScOEQX
XguLoJEMndzqkJsqMhIf7YAlPeuUhthjP9h1gfjth3YBR2kGqBbjBb/j06veTYYooI968sXanh7J
Zv+X1c0PXrP5PkXLfUflAmwgqkrsBSidZGRk6RFTPnomS7X0R/XA9y3QzsaCRPZgNovMolTR9GAp
Y26eCB4zTrZbtx+2VfGAJa5aIulrWYYbsiOGEQtH13/5cnAxgTXDgyZ5yDkCHs9/1WOSJJfJ7ZEZ
m8KtvmrSob9jhzHJqtM1kqKO+HGE48hIxW5IhuApcifU+o5XBKeGDVhK8nLNX6nY2TLx0zjMTCMI
BlSvGbQFEqRJI4t778EVRHR4Y8fJzIdrAYvuqn7bY78h6itll9tQmLGT9TSU13ns/3h1hCAB+AM3
mJOqP97YD0cyuJqbERv4yUN48ZDX9TBjkmIfuvGKQbwUdD37VJbdOUtjc2/6MSlLLSlEjCIyosUt
QkxgRnZcNuhsh24d5AOvcEj5j0uoTHRoRdlhq5ic+VNGlXC3UjtMfSYj/u47HeBb6wZisZLQhSKH
Ax6tK6Pl9swHz4za5pdXa1mSXLlCS1VdJLHvjxSm6QZEnQ2JKwsTHIeqYLXJz0z2diTqjwhOGt83
pxp3SHYyC80UhMXek817Vfd+skZkVX1i2vTOLjuXT0epbjvEzHko8Iz4nNSQxVaNhe454CVtQevO
01qQDPjWh4n8BnYtASrUZANkbJfgvKCwe0zrSS8uqOq5jsj1W7VtjaY6zIZsYUZ0x4pcXWdru0l9
z6k/4e8PovlAscPM32Ry+kJa+3LujByTnR2RxVJGFrlpzF5ytsaiKteOnuRHmAmumtCI5ktbSs8l
3VWrz76vvW2Qiq6G05vnF4c5pMtMpMTWj8OK1TkobH3btxZqlA7x7ksy99Ez06U8XNMJYFGeUvMA
iRTKpQ60+8uMvCF9yrWK7qWL/5B9kxPiozW4PhZ7He4xbmawk5N3Sosa+EdGf30AFWX0a5j/CGsS
3rODmUXD3ut7t1t5Vhs8gBk3Asyjo/3kc+uAJEnUazr32ZMz2eE9acbUbSmWo4fC7r1hZ0YkBVGS
GOZEZT/4sCWHxH8a/Ci7iGEGF0j+5nTxHJl/oxtzHlkGsbv1HQYcTE08WvbBM3448Zg1FZ3Pvj8U
v9F9NxtKIe8FTVht7YCl+Y+mGn1SjnBTraPUydasjIHXjROOutSvg/ccPvR9abbGV00Y3pM5MSo+
211fLvif4A/43ay5IbayjuGQeuWPg5ztdR71dCjmYjgHKOmBzAepCSMiGES185H4TpuFSZEepCz9
A5sZ48VPpmJg5Nl0e+Qa/blk1rEOpszEJurBYbAm1ap1hRbiZOblmK5Z+E9vMxiWbZ0Kho0BvrMA
WWWmGZDVzQ0SEVCzRpK127FKQLcmHcupUv3SZo/An4nqBh4rlIfKlh9xzUSaq4nQxxRZVNY2nDxu
4j5kKMa2HtFi5CJM4GdNDi+sC+mrnVvhym3xJ/AUImvroj914B4632mPGlYgMom+2LlGqvch2ZL7
GM/37xhf6AXnO+ffRLbaqtV0h8gm0IKQbYnzxGUfrQf/Lonq+l5XXnqUoul2qDeqg9WRTCWTQH2P
ed88BMbEkgmFBFtoHdTPKK+TnY82/gAlLfmgnOkwjqSPWcXR3Cle6DQHCPOZzayCoY5JBSX0tIla
oGmJ6m7wXnFTk9vLGmn8pnvojxb4Gzh+iDu2QzUydpHI1tglsa4vRBp+oHWxkk0l/f408oCsDWNq
z60klshl33mKSF39REDxMzcGtRURkct1SjfWsPU/+lPb4tm0Z7jb8FeGNKWrzdiE3gKZqraEkDhg
c5iDEqdj74Bj+g99CYtnLcGdnX2J7sIkhOI4GY0Um9BrzYs3I4UhR9W/cer4mcf+wXeT86AVyNDR
xRXIFDz0ihlnGCPZzmL/wceJWypP4CLKWaS3qdFX+VpMqnjFgohvMWF3QffJqheezYvPWO0za3J9
z1YXLJ2JnOh2mv3g4NvQ3+oY5vTe1J3L8YZe/t23zUvedO0lR1O5j7v+oCynpQJUjPpZaioyAtp4
TVqX9wsy+vDVzN1tiYLj3BWiXHh8ALRI90i+MPmZ0OO1JkZA1zsCflGN9MZ8HvDkLQJQ9VSm/N5O
KD24AbbaSZh7kkeU9KNyLu27mgjU5z6gNkclSwieKoz+HU+Ed+ote9hWpWJKPzndV1hhMC+iQJ+9
KB6f4gTaiRn25m50Q243RBM7x7D8t7CSLPSI8kyGzdAOs7mlGrkveBrllrUZy6xaWeVWGhKJCZHA
FQZ8OyDxc7Rkyg7PZQ/fGw6bvJLiaZMarEqDAhP8c5BoaP+WXVV0Jj3r857b5KeF/eIwSyz1QcxZ
9aGTlvGEcmzc7QDum+S+FI35GqNeovxG9oQLwv6wU8O/2KKwfgC31Vjl3KJEecvncFR0Nzu4lTQS
8Oey11zq0cMYTWD4E46FqjroRIbbJsGNsw0LOf8a0sYjW1EOR402hX5BO9U9PkPbPywDks/EMywm
lzMaSnfQPu5bt+cO66veeLK6ibiMcYC1qVXzlBZB/8mQlwOgs8qD7WUfrajTswOhuNoWSzqGOTJn
oa8rsLHHtfcsg6lHzTw79m0C4a7DrdGKdmt39hzsSRZ3jJ1Dggbxq4s77xUpkm3uG25NKDRxsZSM
yQ3A3F02toI3oo8UdIsOKMRKDJH5pzG1uguBF76ZugzQbE9OjCOuD8SvrMraExOcCtmnkNj4bCgf
JyMQTvk8LjRmRLGDf1OC3e3OdarBXc4pyKhsNMY1uCe+5E7wTo5LGW0l7dveYTgXcCJlJlHHljff
0nS2HxBy53o3joiO8oTcO1oz45lQi/DG8OduTQkJ0EiBFeUrl7V3HPm+e5aqFBcUMO53IVT4xmQG
2yL3EZV04+2rvGju0JPIbzA9ACJR2zk3GmXFzorS4kcYjREfJDmzUNfTFlKENWPnYyxeth4VHwMD
bDg2Kcd+M5K2DP9gvBU5cl3aQpUwjyjw6xLJ1fS47bpKjauGzYGHSRTnFlGAi1KcRRZf906kE8ht
9DPOoaMTEyTvTmGxH4LB3LS51wdrF+nTLyeWS6kMQ5Y7B/Tqc8440AMyUqhLRfvCvy3JuFunJQ/m
ins6908S288ngD8C+VSawFvBY0eFwxU1BXjuVojO9WmMmkUibDVvfmmFv2YCyTRgkJTtR1g4E2Y6
vJXrEXvrLpwgsO6ygi0glXixG+YGu0Q8qY72jnx6ib6sb7CgpmHy4cqp2Ve+8qGiVqFL00WCw67H
nL7xspDdBfMPYyNssp58t0AGk1Hz/BIdMRh7y4eYJqTv3JcISg9FiaWIJ9gpHiuD2F/CpTDFoiGT
A/l3CVRZ8BGsOcVimetkyZekJK222Q4QEOU+tksyL1ZjH5fNUURtrNCTWGLPFtnVaHdi/Y5tA9Il
RsnuVU34UIFxawyPY7B4yu2cJSvg2okB2oCH+FMVqfUMxxdjpNuHPnUC7K0zPDGETnhBxKeNDYK5
RaYNa4eOCPpsOYDhOUWBmt9EpWi6eDzBbOaJDjxr5ZoaTzK0hH1Z2f6JgUiQ7UjqqeC8mMUPHBP7
FjUPeowiX2xbZRe0/iVTSY9ikWxWOZoDBNYpBs0xkp3hgyEOWFrBB7Hw9/KonPopntnbtCzbVmpI
omeCzujmtc3xM/mW+GIVjztD2ba0bzgnWGFhwmx4QHPQwsdQy7baJ2E0ILkpBzVvUJUE3y2i+5eC
bSXNWEaOLJByRnowjwMIcKnP7JFewMi3uWoxQOMmdJJPlnoByPyWWSlOi/CO1Fm4GOx8yCMN4HUV
K7RkiIdyQlrMjVf1GMyKymJgQ6KzNDdDNjR3oiwWJSf+2nc/FsT2Igh455vU2jetaap90iSdumlM
G8XbaEAv3BhOl/zEIDLSnbaVoNiLK8gSXEucK7rSRfmCttU9zVE9E3eieumvR65Jd2X40bh3fSAj
ht1hZR4ac7oBmIozhC7SSNZNqyUm3aIuxNYmP+kBU2He7OGnVFh586jbSPaeipxMN74dNflr67YX
81aaArvKiP6dA9WEUoYUjNewgsGxI1zIVDfT6FVyvSQKz+tiapijZa3JMKkLfM6BOY3Cu24mIRrr
Tl7SgsHpIBBN4HQKHaDgKNUSrErmmDAsmmpecGLoLr7tVOXFu6K0/gy5ET5CTrOYPArAIa5R96zL
UkE0gpcWDQE1RdNW245jM1n5vTQeWLbO4audEfyT+ENGAyN6yeViQUijrXezPy52iQ9inlDmiczO
WNeFZFNQuEqIrUH2mIPaOQDwTYcdaPXgtcEseZ6nIXkVZUoljWle/Bt757HkPJJl6VcZ6z3SAAcc
YtEbAtRBBkOLDSwktNZ4+vnAyqnOqrHp6VrMZqxrlVZmv2IQDr/nnvOdS1qlr6Wi++sisqxkH/MS
WfvLvjKoWqp/utHPP1joKN9FVE6PMat21qUFPIkV6J12Oqa8CuvVaKfZmRlytHckkdCyk9754jJX
f6qxnT3N6oi/uYCIRPpWCQ/0aDm220IkrFY41nS2tCZx1zA1fjSlGjAmTvpmRFA4IukY0Blld2nU
SSwJ8EKnQcca5p3OF/e+rYbynmZfnoCY1bwXikA81FXDmd0SYXxMoGqNx7Dqys2MvhJs5sHqQzdT
GpQorWzMeeMbYHN2Nl9fuEZFr6NbRuEQnxEbcNrgFcUeVUIFM3cNRjHWM2FrG0S7hLZvp/CBwguw
zni8PwD5r3WFPgzapSEiVHh8vljIQJ9wKvHKnWyUvNvi0HxIGE2AJSVEYqPaDB5rygkfuYsCX1Gd
EP6xyipK4dpWVS+YZYtfyJ/cRfUaHcC1GzX7EQ2NGi6xtdTLzRGxn+gToF0xYrwEpJdyo6zNbPv/
ZPP6/x3hztBswa7y/5zgPH1QjENrZVv/Q4zzz1/39zSHowpHJeFEj80/LGfFHwQo4dtp0gYxRwDx
73EOISC78n8Q8xQ6JFaTjW6DCST893/T5B/EPiXbWV0IU9fsf6kXR1PlApP7h+2sYRuGpem6bpsq
2Lx/2s4KhpqxFcq4ntpS9DuTHQm1dQ3e4Tk0foPlxuq2mQUIdHQWMdm+ggO0K0NAsZQIl3bM9zvn
7H7N8IQ5Z9JSmBiwRYkvvWI5DDRCR+AycKbXV5pBeiUbgO1OyztZR9GLYsgoQOYwhuKuEnna8P6L
WjhABsjTVZ2bvvCMdMBuGZM0sPHRmQkonR6OBi0gAgv236AgXJ6Bo1HVEVwwaWu/UMQx648su90q
6Zx9tTAfRBIq4txRusI2IhwMydOoVcntUJfDjXoFSciFKaGxlziw3JG2V0vKZs7+FUPBy1tN7u1E
vHJST9oWvYgXTGUJKDuDj2o0RmFEocRI4OTG6On4cvMrGEPAN6o91EsjdqsgholhK5m5wYcGV2MS
NJa7Qx9H8S2pFtBo8MKezKrRbxRVnzjAGrtPd1ROD8mhHjEP0tsD5Xu1rNzL1QTQu1mNCylEtFpC
+Fs12PwR6cQ2ZnNtWTAjiFLFjVbb4d24AEoaSCWybpdujTEpOo/rt1zzMm5aZkgs9I6RRnhcwJ8E
fVBfaEW0i71MS7gp85WhAo3CuE8mLnGnZTnrQxjrDGeFRKyjQk6zMm6GwuRm4tPaOp8MnNjKIbDA
8bjqMBvKrgZC+FLb89BtuzLw+xMBiMlxZbQwY+xByEtOimZwI9tv8hvc4wDgeicFclf0pbaDGweN
pgH+5+xVtsol5qYMjAzZqq5fS0K3OBfttvVwoItiHcyC/2Y3AgKnoWjJ30xJ0qcUK+NAohvFEaRb
rNKk3S0oR/K9oZKyjwW1Uy7QnSwswB0Fdf1d4AsaD3zroDCqV3xPX5OT9eTiTw5rFfIqNsIAccOi
aUpV7D5jwEXSjmNV/ywdjXLXUOtQ/UMEMshXjuAnRs9UcdCHlp72qKyTm5YV4F0dWRcWN+ZT07Dv
p62wUvbETcODPZCiQU7JSiSBWLsHGNK8z85kUg+R0NUheMWyA7bFg1/3OLSx8LXiMaoD1s4abXOV
26nl9BDl+vydhdl86qVaD9RiFaGGSzzADjZSwTqsRT6X/Y6Wu+zkcLtvdyM6U+WpcZ+9IYVUt05s
wdWtnRJqu686SeEqUjceCU2VBC1FhvnVpuqupUoklzeM5qH0ymDiZgPOLdCOnc6ZALE1M051iWjs
odxN7ELjLHpvnUKMa2tirWJqAYYLrWSM8QrMFzgxVf9ZwdC6na0e/ONY5N80v3e0eoaU8fnG+MIq
OXMrXpnWVqvq7I3VNs9NScXBLTxAypqMrDjmato/krSg/jqltpwqVmekC8XQL3idR7yXjh7vcEBR
Cx9pcIZjtRfZjnHMeNKypDk20xC8y0SQpZrbNvXvQNNbIGJ06DxbhyKpDSpf+DmWClo+Ch5Qulkl
2YUru3qMiADvYTwYESDgvFBWcBB5lfuWmX6XMqwPej07OnOoPT/Ds8y/qr7oHUIs+hhsQ944QKQS
2q6tdGBa6oPhHFaFsvcNAU6qD4p0eCgHXMguJhU4FyEAiAb6XVaBYhF+eejNMu2246RrjHaUK8Ze
onMXd2euuaor1ap56ePJuoUbUbgOsNF3LfCt/MlmkiTWOvKgrPBHUrSkFFJ6WODY12XKRCcxh/5W
1gNfz/BljhT1s+1SIj2iiCFSJfXG6UIurFhnWWtkGZhphoclRh5VO9NoJM+oozsc+/QqHAjjOqw7
xo6gumaQseqNyr+nA1B9DCaGIlx53O/WudSiYZ3SCnBHXsgyMDoIABekJQ3laMwi/jBpcOh3QYQ5
92To/uxi78bWFmt6tkaBUs3VjOR98aMkeAQmk6deH4wanUR65BSeJllQrByZIyMTfByeHJL6BDUi
PIqrhk8eb3BpmHcEfxTBRJEDF49oJCo9c1pIG0KG5X1UCWrGOBvguYEuMRcPAzeIPb7HpfUSht46
5zSjl8qKxmPSRuqOL/OsADSE/YqntYzcnvtBs8NuWfubtpLOLk/j6NscneqFwHVxp/RtlK3GKpq/
uHNSissKSTCHodUUHn9Em7l9F897LTeSZNdIrverKKI5DOfALIyVbS8fAs3WDDdJFl+aZJ64INS6
/sH9dsHJ5Xn5OAF8OhVqOWDwSUY8E0bC0ep0WMqoVgiy80jHB8mNsH8eaKA8JBPp642qQKyNM9XG
XG53TX9KnHl6RMm0CVPEUJpIOtdVuRvNzv6xBmPaIcVqZ38IGQ5hYxPyKWZ8IKt8IPfh2b1lrzT8
Jf6tMcVsQIwuLp3LZJuQXpTBCk+KXjtvePnlXSyUY3X10Vg4aujxgJFzddn4i+FG55Dz/KsJJ0K+
R/L9jBeDTrRYdcTVtYP5CAdPIGb7pV1sPbD+fHb9WH2ANeL6AUGb7FXiBivOmIVgg0cI9Dcm2aGL
A2+qs9jtR2Y2pcqtg1ZZqtj2i+MoW7xHFP+RKiA6ELn04oYAwhabEgtL4VqVhDxn+fNBqWa/XqmL
t8m42pzCxfFkLt4nswjn3ZipHeRXlv+rsByg8hJGybZxUCAI4BBst20YDEflaq5SzaFdE0PCcoXl
2jr3iw8LhFXwbQxm+BY206NytWuJq3XLWlxc0eLnyq7WLtNaptaaswiykT6Lfk9TofnJ7hhrgpan
Qjn0WMW0xTMG8MK+M8ScrVhNaY8p6MR3Io1Ncdbjqv/FKIn5LLAWI5rZhpjSwqtBTYoZrvxEVnKN
tQ4LW2Ek42cg8LUNBpHZ5wKuZbQ1C634rqSu1ne0tWCIEzGWx4NxNcpFjsbHGATkVxGI8dLpqMY0
0Vwtdv7VbqdwnQM3d7Xh5bneP1RXc16UKIDIrpa94mrf0zHy9U2ZFAeJHs1q1hmmOzL64BzpRj7B
wYt22AuwA4ZjTYvy1SN4tQtaRoh1cFEuWGXRaHKJ5jqkYpiC1TxWIiJFg36rkrGAetoOxbodiYKS
EkzXGAID3uXcQb7rxcVIVjRcg5IQnoX9EccwjkdFyTE/DjTGYprMUzP/mK4GSQ5a55GeLOO76yu9
XAVGnd921CA+dyMowvhqtdTpA6ZwsbBSF2s0tmbV0J5N7mrnppXkWdI+QGa9zpXyOmOqy7g5TmVZ
uXpSGl+8IFOPVxaTKdhg/aX1mw+B3oTDvE+ZXwORlL84l6oX7TrfIgIz60q/48KhRFP+XAVd8Dhc
52LbtEM2PKp8wPO8DM60cIlXNkmV61wn69bAaG4s47bG3D1yJ//Qxtl0O2byeBnOFaFz8rfXmZ1F
MvO7ep3lk+tcn2HFjs/Rdd53rrO/ctUBxFUTQBHILM68RSugUxbdIFokhMaqdFoKFmGhuWoM0SI3
RFflQRi8ykOcl/f11AT3fPfn3dxD4SPvwmvey+euu1BIaLhOo5dHNW30jVjEjgjVw7jqH+WCTgtr
O5b7Jm6m8IUC3JANmaBsaZWVNTfCWVe1U6lX3cUYRtSQmHQDBXjo+uF4UDOnWOsqYWbiseSghqja
dA2ATJQVq3ZWeiglvZFOez8o/rwNWKK9lny2e7ToOnHpW0wKbP2OQrNmZkTRWjVDLKKgS5Q3sDud
ckCxByfd6Zn1NOg9QAscFhqdOXUPgze1LXReXrTnwFiGMxKCCaF8ih0eooma8E2BEMmPUM5vFK8N
74K/henFeOQ01+bzLj1DZwNt6PX4TpAfGmekETfHtq8+csHlhI1nUkHsosODrxfjT+ZX08acrHRf
a1DZdr1D5p+hwfYPbG5JkRclLewa44zHJQN9M5wdROc5wYmFIgv2VuSGIVyQXOssrQBjOfzEWnjX
ehKveZi1Cp036T95fM2bJklboslEWiKuHXmw89malh5FGJtBpSByBYExuxUql6G1T+hDOzRO6Jsb
JmJV9zCKxUxVjDemy5A7bx28pe+y5QVGjq5jfkWGNRaELsQVBiXHnJ5qknsGqRidlUREu9F3X9Vy
34cEg7Mxh7cSSto6So75Wehk3ijG5qxJWgxaOamzTNoBlha2gbmL9Q9DFI7Q5t1QKv82sLCJmVod
YjC08XYFhCdocItT826u26I5VIUAbtY4vklGPMjNNWopwng3BDDseux3wsWDNN7apU2CJGgj5zui
efcB+fcpXNzEMAxMqJs59r6snK0NgD58aolqHyaWv/heqH8r0aQv5PlUjwi+WbPrlymdq1HX3Nf+
oCF4ddbiVoiar7hF5944ZLTrndXmi4EwbL/Ldu5vIcqzWswInyGmFgF7GYGL88NoB9VL+TkQATVw
XOP44GYfmTfQvM07NpZUYoX+cMKCdAwsB8hkKgu8DFVGaa5hfjXsDi6JGVgk7HJo7CFTkqhUEpsp
N97e1F9whX/zdQMhe03qm9F32kfZvvH1zEsjm8875oYM6/5sZEp5yGTDX6gvyovNa3gTtXXwzp0i
Y+kSTeaDkXyoQlJSz/eIi35OyGNiF09fldwnuVo++KSZtrUNSZOD0yuKRt9qUW59s0vWdr5aE+wq
k91MfQoScpfEXkkD6SbOav2h1rQJi5OtEpU38iPkt+Gjq0tIdH4CiNJpJ3XcpUlhUmiCRfxrJl49
UBmgVVCjpX1ok4pLF9HJOHV7Kj0/ZGLa03o2K3kzgfnYFSN3+gT035bw3LDDUs2435fJZbD16Uwv
plwyninlKkD/Ce8O7fwzxQ12iIQbJHaPzH6cpGneTIKgndnkBjMxaAAYU6onuMn/pMpYb2vgOsvL
5LVywPpTdCW7U2NyiNJSU8RuCfbE32aFE+yAom9hCyTbvA1HOvRKxA86X9onrrsVAsXUlO54nTkg
r3oVWaxfWw8duKDYA+GHzm8aPvD7vKA8YYVQ37gVnndEc7XT3EhyXKLcbGWR7gcRlNsw1czbLjE0
/kGjrbhCFjmXHSVjXd+BFwysVmLuZT7tLKN6HWoVM/uEy1iVlrxPHaPdVXg871I8LtAuwoyKSxx+
VaqrVJlkpcc2sD4DI9TWqP5ig89Ow/M+UFGGA54bjbyE1eI8sqLowD4GIMbU7fTROoPfHFzsy8Zx
kkLbSOHMACN12ksxOzEj9xEeskBZ97yMN6ajRi7k+eyGgype88jYL6xvFhpUXVUuxYBsn7XgEco9
HqtI7cdHslzNZmgKdoeV08lbHNc2mOjYnE5DSl8MJy6FsnqebqY2qA7zHJTiOGpx2RIKLYDzhs2b
gm3rUZpVi7O+mpunuXe47QWJTmNhrG7xwKj8VGfK5kx+/nUetGsLj0ZwwDOQrtUhHLxeSlnS0JRY
n2OefoCjjtyx0NAL2jn7wSzlbzkfinu4bWyZIl85pzr2AsPHtx3zYsUskWPdCMtiu1A5XDzxGOxS
61xKP9NIYvVQaxz2KEujtYyO9Brke0ut7R+11S+Kz7W7wfvHhcyfLqYxgZaA2uRq2DuJGPfoR0qx
Dce43ZvjjDY1FbP5bIpMvskEvb8JeZMEXXS0qpbKSuYNaKFcbAFpy+lzjlL9CSq++jvUncI84MgL
NtFtTBVTey4VOJensAdAx+9FDd+cflVSE82aZdy44+o90bsZZ5ekkWIHObta1yzCpzs18aFETxSZ
2K3mr6apCblJ4eMRe1+12NolMQXfMMCH7k7VM/zQEhYe5Jb/Xiv8V9hRmnrtk/u/JL+o9uzqvxKj
/uOX/W2x4Bh/WAZKsI5BGigTIv7/wkTRM8d6gFcX56tYgmL/wYkSbA8c1cJGbmhCl9Qt/n2xIPQ/
bFKRkt+RiJYD0fFfiX2Jaz3OX/YK0Ck5UzRLSEfKZcXxT3xIfJV5qaiJs4vrKNvh+eTojJjJWqDJ
ZcsI58pgZFEX51u6MugxCOfxKWsw7TCMv9QBVcJKhQs38LPxaMEOvG96405DU6GFlQdcGwzK18YC
wHHWMCGFtf9sCDs7tYmyb2rfoXTS7o5p0twrvNG4RY7hp1QSoC04Il3Rpxc6F0hqY/rifdSYE63P
VWdsFCvirCwliVRMCbZLjRU2y2Gi4SA2RhzL1aS6qMEwBFQfLDGgwp2SQ+zaOQ13XrLc4WtUlj/J
rOQWPIzFTTFG8Tve9M/BEeoOcfEc52j3SYg9Y7Cp2oTA2Hh0wvyqCg1jRpdX51EO5qpR/Ow+xlN2
chK5I2mQrq5O2zqSUCnqAXxOFVFLG0av/RgD1GhJ6K+UnCqOphm4xtKLrmp1/Bxbi8cX2MimFpnG
hltgIxsIst2rQ/w9yMag0sj3XT2crtESyCwsHN8B5WPcavy8306iCFzihMFDT2qi1Qfloe+s9I4+
OmWLwdvPvdLw1Ts5AMvgVjuE6dKw0auuVi+/J6A/hIukTvRVkoZqvotaziJfjNhWCJa0HDK0QHQK
foddWoaBsofPnx7xPLXxxodAFblgDhJonLEPdBoknoMPr+mWymC/3jeV2YTorVF/qHBgixU2/crk
/TAhQNOXAJsrbsqUwrXMUL9MBrpnxp8cO8DSSbgyrAr1q8+ylko3BVglSL4EXaYyQPCDU5UYg4fZ
QRZCKXltG7M+ofZigtGoVI6InfnGbRjkmea1g6Kt6sWbj4zPUOHk/a009Ea7m5KWcJCDdIoP0bBS
SOMGTX0rp9aG4T5mNxbusAt3FXonsTQ3tTFPQVesxFlRhvwX5S87QgkIgnWLW6Hc9uyH+JmjpR/a
Jqmc1aDVEh1ocO6aPthz6+ZOLAea3yQ0VCy40GMIRAJqDtaGfrZV4zVtrMu43GzpmBduE9W7sEXj
xNl5AioG9EUv7nu9//RL4wHa4XpCzTlz49/JLDllQ1dRW+57elIQajyZGfZ3kKzUP7LSbskSuIYY
JCG2KdsHaqJf8JoqP3ydvcIGPt6rF9FGipeP9p2qVuWmGOiM5IjasNQrPf6pv/p8l7W91+AEpMam
fM0UEd81qrovzTAiKVFjlg0t/E9NbHpFonwbUZo8OBjMVqbSQBWbvIYX3Koa6oAvgx3sUkkqi2qX
R1j71PolrP+HFCYMSS9WimaGgjmh72pZ0bjTjMGSwUr5MAxiAvQZj3kRrmcdC0hfkr3JbQizVaF7
loHLFrMcZA1fy4uTGsXmuzMFDyLNIg9tt9sO2AF5ZOINbkjb03RcmR0q9ddszM26piKImnowriIe
gcoD58pTf99L64Gj7xTENGLo1SQOSWRvWhZ1MPyxOk90d4A922al3WGiUb9ZrbIHNKcfoFy3lE4U
bg+3ZAMU9ZE6Ge1naO3kE2Hx9y9778vfjvX/AYT9Qvyjbf793wTVan9dI9u4UE0NuUITeAhty7L+
qTw0L0eADZHm7JSgVClIx2RN/C3XvGAs5W3IiBG5lATKci1Jnp+IRkavQby4+ccertcqM4eQc7I1
eepM8OSXWDDhroMxqXHJMdzr0OQTXN9RD6OzqHPtq4eVZGBOG1g9WuXSA59mc22SYehqsRrLuj8k
GhnEbRiYSo1YIDks8tI/9lPc9xt5PU2U68lSXU+ZZjlwRgyViO2gN8WO57L3wnqp7e5U2r/sMInv
21iZrFVaqdaeyzHH1GAGXyxTipVog00Zmt1N6nM3dlR90y1jIhS3GxVl7yjV/Cho1zjqrFfWsYD7
mghmugzEPg4+gIp9p9/PGQsH7HnNjQl2dVuxEAcr1FJhVkSNt7By9TwXh6Uu+kezi/yJmEKxrvQw
5buKPy/fNgkrxm2MS7lzTQz3W1C0PC2mGnMnd8iKF64BzTBBn2EmP5IFALoTY8Ml9CfWo2OytayU
zANIkT+HlTNfCOQYBKkxQRV1fMR0Z1w6I58JWiISvHEoAKqqLBBsxVCgSy49LCz+4tu+7OzvALDp
mpqcO9Dx4mCS9aS7K4u1E0Ij/UJOBOy9rVvCCkilc3ST2cI8UpDC2gn47BYxzsAb3ytbjdJX8n7C
R2MKgi8Y9zytIxLd+yQ5vSBAiltAtepd1JtUu2japwFNeoc3PFs34BDB6GT1JQ3ZtkVSbNOsmFgM
agd1wMtkdUp/JHVD7eZYV+shbGqXNXRUY+is2ummbOUrFVbjmk/uBY4XGPYkoss8cKa1wo4De672
mDlt4Sbsd0lhMxKm5dYZ9W+8EsPGrJQvlg85CTG8uGXYHnSLQgEtvoHKd2wy/8UPIFITUCP99Rlp
DFOFc1Z7SiemDjb0OHdsakftnFT6D+2vzinpkOI1hpGNPSr2rtDaD2k3zSG0td5tzCT8nhxnYMdn
N5RVi2nfNHKG2RnZqywDSdb3zReXRXpKpP7dG6mzUVB5cUoEtpdpUXQ0YuVtDrNgm02qdsZ5fqKM
fEL07cQ6p/LW0y2t2IDg9d2KZOGql/WMZ7dD9SQpye72QIUDVF62lNwSNkXZtKe51Og0nadpaxkl
PSEjvq3AH+FoaNFe0Ix0o2iTyeUD+QT7pnZHJrS54OhY604f7ZV2WcBQ8pJC87CiA64bQZU2vd0/
2K37tei08jfpAxwpiVlsSNVBBGT+ITSP315EpKvBR8bbahhJhaadmN5GafWAGMdJvFhTh9bX15n6
ig0G+2drQLLJozj+DX1E31XmB6Eb4wwlJC7Gptwqi/d3XbBdPvrLO7pe3tbJ9cVdXl/i5vWFrltp
gNns+qLvry/9+XoBwPXAZWC8XgxYOXNJMJf7QrjcHP572vovTlvLvPOf+7iiuag/sn+atv78ZX9O
W/ofhs4ws3SRgnn4y6glgL3roMQpr+fdh1HrTySvMPgVdJvyP12VmrWAdP/0cEHYcHhXSke1bY1f
a/5Lo5bGn/FXB5ct8Yirjm4KCCAas9ZC6v9LUekI7ZoBB/ky7w2An0leQl6rsi2Bg7NeN84+8vs3
tNJxRRXXj0DaPQUSwvt/fgVw/reJb/l7CORWaTGYLp0A//j30J2ArAetODtaAdNdi+vVoK634Ejo
bsLwaFS7yrwQsj2TrCadKim9EIF/opOoXVW1/thVFmbS3dw8z9FZ512px2C5Ihu9ym+JxZrWsdTY
OA48roZs76aO49tvuN6XrCTU7mlo4htIbWyF8jV50AuRiNsh8Q9CLzFDmRu/yV6MLLglt4KPQyaP
XaTXa9pmPogpFR4UKNNj7BsJEgV1uR75gzyKlSYDNNJrQ6cJNPBN4k+7ONAv7AUZGxaYBR9so+vt
K94Niv7QqzZgIVdsDG96BoKNDAN3EqdCKXgH6LylXhhC79HTH3jHH5oAxKRuHfKQbk6Qt6pVPYyj
fCPJRlZjTM4AXOCuBjT94byxd7qMiLxmZ2xTB3OUP4Qldrb6rjTq03KBBb94qmV9b/raFj7RWhsV
b8B1vhLQQ13TEe7UMQtM6SeMw++o0s0dCAbNw2P0i0To7zkr2UvONCrimKtIaM7HVhtO4EcaaJeI
QIMmXB3dmi4FqJj3gP5dTCzQFY3hoRqDi6aifQ68Zh51Rsw0n9a0ArbmwG5Gf8psiIaqQotm81Dl
42+f2fuxUd9mUhRTqWKfGspXiBabCa0NnJ7cZPSZZz4LUct5ukaJ5AamH2OcZmXe2PbrSe3PgeK/
+iW5LFO/r5m4WJV3T7i+GBm+iwyLstrTZTbGSALk28d5oLIM9lQtcjfxU88Z2/dYJymFOLEi1/1q
8dWE1fwUZeRZfTX/5oBHKAszr2jwtgtVWWdx+6Uu5Q++6iPrTYfWzNcWZjXCrC9xpj0a2YtV1/Nt
nAzJSz9nxyYx7nwuu1t7GpwV/l9aCITpYV46WrnjmVUOJyJ5NTuIvkpBwu22lE8NyIWVVilL+kfF
22exNRjmPSrtiwFbdzEmeZSMXmbfuulHKqhMCTpAxwtBfVMJk8pxIe3QvGVMxY2BaaTDRuTB/L20
rObWVNbudENjX8rClI0L3jE7vPSBdsMCB6PQHjAIqUyzpJDDuURRhzvDH1/Kud3NifnJ9o1oYp6u
EkWrT5WjLc4EQiuRqa+nEVnDjj5lasOmuhiaiqqv3WUZK5wCgAQ9saqd7folwdyy9p5n80WJfBe/
ypavhoVNXmR7nWrZVa/R5gDo7ky27RAK7oVifop6Ib2qs94i0iVuErFlm6U74SAH1XJriWYrxOjm
s20dCVKugyr8Mnvjovnx8jgJ0JCsOpAKbkkn7cfEeYePsI86+Q3mfB9X89207OUIjmZAQHMQzbQH
pJUSbwqLugg0lXvqdhucUtS8s+SiLuRSQ21VG5VPnmExUJU91QynLMoHomT6QJChZ2LDG6qY8iJr
ehjSmN4RnDSgz7d9SEFiJEMN5ab8LKTjoSY/E9LjWWlKj7lhk7Ku8KaxIO1VP+EtvPXz9q2bsnKx
E4aUDtmEgKcHaxgCzLqn0WqP1N/Rv1U/qopzC6X0rU3lu2jFhuXEDeSKt2pKXpLJyrZtyb8DL9ak
sEbs2fFYMP8mQ7l3bD6eTKvw+ZJz6UD4dMk0ryqjQGOx6piowbAfVHsnhL6d6/JXT7ItS/YPG1Au
ngR/n5ehOBF6xLJTUQ+lVfaPENbzuJTbUVSyBuu0qXQHepmRNutMRyaHIrazZ+dDLBnaqnH4/rEE
S82Q9slYeRIFebJmatY8Yed20l7I/H9OFhlIA3yDq2bNR5xYPBhI+GELXcTxL7nCCDzYN2rfnmeh
9mTDLCajOjkhbO3nAPYrKOaVSrE8kJLmZuZjRRI7Jf0Ald5kUQs4kmovLDyAKmwCUoF0qTll854c
efT2rdbl685QLizs2QqHQYKrRjkZKiWAUUCUsii3TJj33F0bPubgrsF6V1l8H2qbTzJZ16Z16hx9
X8zGYaDzM60PZrhE3O1oR2fZiij8wZRvnZ48UWpMSLPe0vFN9h50QcEhpBa4wUJ/y1LVK4v3sMkZ
rqyXvtb20CO8NjWOmHt3Q19uKF71NIdLum2bezUCU5QQYUysh8ofPG69uyk6g/gAgA2mc0h3Dt90
O9Veu7S9RY/YJeA4kLa2Uesnnmz8HSV/EDP6+tH024866a62qORg1i+2A4qd1rTF2Jg7gqR0d6NZ
N+NMqg3UOWJlfafM+omu2k1fjubKiXnkFWld5Bj+lNMRfsWaXN9tOP5m/XxWpbmJ43lVqzqgqgLG
fQd/MNWO3N9YUka/rG2/w8C41c32rJv1bvHyqdOwVrmpI2w5r/bSB9T9tlJzcaleZtAPjazPshp5
CItXHpFnqjoPVvre2wnMkZwOythjaXnTqd2tFdNGWUiOFz88SQ4t3CV3dVMcrGE8dw640DK7JRv4
ngVK6k2K8elYFZ54wbJ0OgGMpI8u1pGKNIxthOC07qObu9cwhsUv512ixV9znX+ydjmGysku/VU+
CiLUBV24Ycnak6EpxVSO6X6IHkR20DkU2IThdy0JjoV4+4y2w0CUbQf9NMc2m8r0VnWiH+bjtc4c
wvaX92fRbukGgPCCdJ6opyIgqJ461U1gJHc47umlMe+7rKe2Gc0la9/CU57eiOYpNhJPr5RN2cRn
GhrQSKjB1PvomeAZQd6Z0TDknxVfrNnLO2tLkmxXZM234RDIiZLdWPEBEiQzMjwyJr31ThXRgJce
Ydt4pmU+12P96VSdv27x54I2D59lpTQutaCzO8bZE4t14w4tVnNN7KO4makMMgugZ5h63EGpDwnb
6qSlBDE35AU95i2IJwSa7qXp061CmzRgy/q5TspdMSzKOAaERTUV/ZaBE8HksQd0xWIQAgoIfpnd
V1DeXb/ZThroi54tb3DqB+m4AwVRjsNXneJTZ/hNcRt30V1bOYchA0zUwo1oDiz5Kc6hGu9+nMNN
0WxCE76IX1ALKerRo62S9wfkdbW773gVLerVKh62s/MUWOKFUfc+6lTOA3sbBY9JlGxbXe6o5rnM
4LZo/bkZ1eyu1y6ZzhcIC9AcvSuwZsZKg3bWgSth6zC0O3MQNwjSAeDH8UD6UnOHyvx10Hd4Nqci
OCz47bgucKIxSJQVPoWbSJvAuNmP5hBsbKP9gBGwUlWn86SvRkg/1C8p1gu5dmiv1TPYkTUt3PtO
HB1W4VHMkWVwJR1xvoOceNCyx16uoWEbg9td5Wo8YySAs+wpYO3o5oQfyHCyg7Z4I9dqMx8sP09O
pW1mX4rEX51j+Nz7Pi48jmmnfZVDUjCjz/ijIgnlNW3/J3tntls9kmXnJ2KaDE5Bw/DFmY+OdDSP
N4Smn/PMCA5P74+qrO7M7O6EC/CNDQN1UYWSfk1k7B17r/Wt6RfAWXkTpKa8YtOgvzSysi1qWnPv
umg/VrMH3jtUci2kC1CK1dWnV0JNlXbhncwmYszKYV8cEF9lT5UfyG1uFcHdrO0F/NLHbwXd8CEH
YoV+3XCtbV8j208DBrxrVlzxNrdLXtg8OVr+FB381jG/+ZLyE8f7/IHfwzwULtDA0EwtAtVbewfC
qb+W8dRemGVanMDwtPfc9+iPacyIvsR2fNsUmf0g+Y6JlWioLWkMQM3q6lOlneioDJQBPlOUm3I2
xg14eXmMUCCT0aTzYK+qurkqWVNsqTWoH9xgPhpB3V2J0g8v8lZ1F4HCD00Tx9VrbAN+75VXX/W4
hoB/TFcVmnX6GXBC95Xs/SezNafPuioxEfdeuIswgFwTwFC9jjaxT6QgwmxobN4fiar/Q6aeejFy
2yXMU8fptcMo88EN0vgusM3ptsMhfbaG1r3TTgqgHnzGaXKeNLZRHC/tPpj78S4EQPdoOM6kGcZM
4tWVBsgd9AkbZx5zkGa+Og/J7F9OFMy32E38A4w+ibp3RMTbzuUNAOr+xrX67jpXVnosiJ/mDons
GZwsStlKqh26jGjPXBJWnl2TvwbyhUG8sHAhpcUehm+9x2fMqZJNybSKo1Aw4GMDZ6Gve7YVgyH8
5cVb6ubiXCNVPzipb52MmYmZN5fMjvLkpkKBFqt1Cs5nrft8uhZiopISBaLvyWlfT3gZu6nY4+Ut
N6qZP908NbjxdkRQ16F+IN/lURIxBYrj1Uvyg+MWx7gCFDernGM/OUBAOzUE1WOZX1Qh7towZbRx
jACRFfXX9F+Q8RwZgJtrZTlfHipQG12802ZbpDtrHWU74AlYHViKALJwx3KF0ss7y8gx92XYPo+i
ekA+d0xMec4dtSF2eR2nNt+x2uvsLMz2ybJYotVG94JQCsZURMxwW3gP2tGPoWFd1xPJdQTJrpI4
uyTr7BjJ6Rr0nz7WVuNsXEPkh6LUGYm94nqSarUI49dwibbA6q+aZOiI2qQpZymwUsLZYb7ZlZ0h
NvWWbaCKITBV3SmIFwO03EV5+asuu8e/H3bYHumLfxi6SMdzCX5iFeXZLvB+M/jL0MUjJTvtXQ/+
T/7MNT85zaMar8ehhi1h5dOF6S073Cqabzmf4rsh8dwHKyUerw0bcGSdV+oXmeniA23pUmqWtwYR
dXB2lzcpXt6pbHm7muU9s37euOXdq+Youx8gTtE682qq5R3FkV5fTct7my9vcPjzMo+R3V2oPMNx
FfKuT8tbL5f3vw0IDC+Kubkq2FcTAzDAcAsJSj+mpJ9tSqsNb5AOoDVazhZrOWWAtAzHKOTkMfuQ
fFdnsB98ZM63jdXRn0dx3N+badXdm1VXnJjetxc1csLraOY2RhaBdS9ClzNvOf285Rx0lxPRiCrr
WyynZDv1yREJziqomxh22nKYIkSqqJ2R2BY/h63Kof5NmYzfypo+A5N4cOekWbAFeZw9aTvmwjAM
HN9mPHj4h4f41oG39BnCWt4SDbS265Qi/1MEKpXh21sqAyhO/RUu1aJa6gZEClbwSy3BF4erZKkv
1lJpjJ+iw1+zOqLUh6ex1CS5VKduqVOhn8eLNeOyWmpYvFQzi7JGTggzYzl38xdDwpMkUhM4qrC6
JxB/5ov8mTZPSS6eJ3eZQRfLOHoIRhznk01mbR0xgMp4NrfKIx1qLmjgREL2iT2WZ5RQRPrGSHdE
LeJzrXny7LyBgYazzjNiAAsOK+V3p3BVdaggcXG5gdq360AItxsgAstXtFvu+X4hO586bYD0ZKEU
x+uuqvKbqkw9/B5CnIqUQ2LvDXBIMGI5dApABEpMTp6TfdhmfavtPAgxQAu32cWhTV/CbWEN1zVj
4FVgJkx7n6maC8RRN81dzG3zMBjOa1syylGm5iYx01fOPL4kBMB5wG4SGOFDmjYPeR8XW2NI2w2C
iuI8mADoJBf2by4xz4Y03StbBcG2q51HndB6ahTgW7NAc6f7WK6TJsrv5OAZlzIZsy2FHtq3mSUP
vokw1IO5AXPLe0is9EE2SQwYI8gOpU+brQrzIrItLBI6HuOdN2qanj7PNtr23hJcdAdpJb8mCAws
v+aYrjhTW2FNlzA4iaEu+PCBBwNKvH5xlVVdlOA2dvi2odG0ldg3U95uLB0UWK+cvYyhyublgAfM
bNwdw1TGKiYRsss+i1AJVPEwUek+HutqfKpEUd4PRs11TObx3lFKEzCvsuoSCyNWEvLM9v001VvU
CJBfUq/eSeCF6G91t9NLFlUlmWuGMHgBt7DPjMbubSi1T6hnlrwkc4k9I6eDcOt2n/uy3xeB3e7D
GeK70yYs1Au2l63VJau+xisM/6JZmzXzxT4F6hBHQUFrUZtc528QzKA0tumYJpRwqxhEP76Nnr/w
xK01XO4DXaAf+DxQ/zAKKbvE3j5iDStPVe+GR1FDqKwpu1dV6H9ZdVc8ZALRnRw5UIwC35/Of6W2
9wAzylqPFt5CYUTOua4QlbJ5Flxs4q8OxhViHxQTWdMVG7oCi1V/8jFN4mXIX003verB2Hi9SNZT
6d/MViWImC9/ed18N1mVRyusSogN5MXi5/TFlktHdO5aoTeYWGxuIotMtmRBRQhde6/ZlT9iKgV+
4FufCJVsVt/po9/mB6vl4DJsOXAzrlucvFZ8Gfn2iVxMwnRs3q+xpUjAcU82DKTPOnRZeiq/alDN
6OoYC/R+Ef6nl1Qul8zIhlgA8ZnPQy4yr9Nez2+Y2IqNHTgxiOHcWDvo+659RI/vMHHsY2R45ike
AuD0vdNdh5Xf3+CnLm/c0BjBldh0T6LxsWHRUemlt2qWLste+q3hp/NaejBh9P4RT5axCX+6M05c
51EuLdsiWN4rfuP/f431v7PGWqz+7H3+axbBjfpSn/F3205/XGP9/mn/xokXyNAck5GT8G3HZiP1
e7Ck+5uLlpBwUM9yl0hp/p/f11iWh8xQ2AEPKqpAWq1/Vwxa5m8LVZ6FGCgC0HCB9a8oBv/cUME4
QCVOW2X6PJKLhuQv26N/Dyw1pPsa4n7qJHFoUaTg0xAczEurxl0U+Jd1aX/+4Tf1n6hXFsTBH6SK
/+FL/0WquJjFsszsiPpwMiISY+BScTpz4oQfQ8P6/++/mlh+kj9+OZ8dmUV+t033iM9E/EUqk4Y6
9Xrk3DudZs5F1IQ9ojBsMKMU2Q6B+ovJcmjPX7rZ5rmS28DXDLhr090QwfeiaQhXzrzQXLIb6MpX
bjqubZW7q94Mn5tmuZbAEl4lVXqy7LLb/v13j0z0P3z7ZIhz2fQdnhUeqOUP+Yd1Iwkl8HF042yZ
yFQHn6SxbgUVj85GO0gheqbwQ82JP2f2eENMeHLvhO61GLF7aCE7RIjNSzZDR0X9/Wo45WVsO3tR
ZR+LOQXlUHLsG/SL48DHioJGt5QUrmiQ2PxieD1yarjeCvOB2DayccIcG8JyCHL6+UztcemnNEWY
3u8cNz1E0/ABZGmVDTFxhqyMQt0jRM1u/Ti7q/Pp3mm+pnaBJYyrtzEZ570/IRrr8TpdVfTKKMHq
7BhIpY6Cyc2+65CWuJIfBqvGk9Na9l7kInrwMvMWfBahJAFf2W40w7JonN7Tovf3VZCO+xGOCPKf
fERmykWMRorJqGOp5HpqMYzDt2gOaNWjnYshnmtQiFjWGEICwdCsOsgGbwYdOoe56JjDd5V8s03h
EyOXVNfSRX2hgjoC6Uyc6ZiF3PeGWHzU7qy/a9WbF9o6DSIeaJ9m2ksTncgOIUS1c4lWuSihYdBf
zHi+SmuHbLX+SpL0K4kq7ziw+VmzQRxI1bNujY56VU04sbL8NZHxReMwqNJAE3z+NG43tTAz+YQ6
DZPDUITphhC75grSynZU1YOf8/f++wdScAD96XWSLr5ITg+HR5IVuGA5/8fnMeAa0YAksrYqz0vo
/O5cleu6YZcGeINLu8fR9ZAkgpi2WBlvceji76olpK4waapL6duPo9BrPGbEvytMx3ispns7M/N9
54YdS9POvINXnj13jVJX/hia/1DP/bfP8b9H39XvB1D3E6LxiZWoTZbN0J//5/98qAr+8z+Wz/m3
j/nLh/w/B9gRaNE5Xf6uqJXp+8efC9rPp/yjoPnebwHVguccoQVT34Wg83tBQ8wuqUisLxxKixlw
pP9e0MhDdi3L9wNfupS05XH5pywjoAoKy+QTXTQZnin+pXomlxHAH8956ikaeFsEAoU+dfcv5/yC
1fYg3ZZ7mvPugHpRvZcJq9RI2uENGRXdaWjMaZNjZoXri+/VLUoGn2STngKTPD+FGuVJlpP7FbQm
Ox7HN3Y+6/WNGNLxZGQlSlTH8FYt7ie8ziC6o3F+95QDhDPZ2Fwmma8XJwNx1Ia32F/5FWzJNkBc
MSFuY1L8JCrnCxDW2tZucZF1dbMXLBdATpmEGTQ1tRfeRrJNmGQ95m5iIIVDtH5hz055RUM+X5es
4T+5doBGkZ73MSViCRZ2husaFe1OOAbK/Boi7BMbN9Zlhq7XDsn28ELC7M0tVE7EEF81xOPPECRZ
gJmmjZG8qSKkGt1wNMpFXUue7YbMt1tCxPDaE3Z1kVpoiodWjtfKkHJfxe4IcbNbVC4ZoIibGELa
wciWK0Q0qDuSXJmeeqVg2Nen4nFi5gL6AYtqatPDx0TdiVBXe/LHboRT6sc+MKPvJk/al8QbnFuE
APTj5rIEl4g4RpZ528ILCWBNC3EMxMQeQTc3jB4tjo7GPbJgVae+CJNLHcvyaQhHE+OUiXG6YwPD
o7FumyZ9X1ppbvGSBXiTWBbOycHX95z2xZl73HfosILAN0Q3pLzmxcMkuDacqf705vDXROQiEWzB
+ByL+pDF7oVSgjjl2rJu2VzByWRIdZP6Q/DieGN9aU21c7LxBR6VmvMvh9BO+IMMAFiFxu55IgPk
DO1lKdFO4H7Wrmr2+OdwNo5kNWcxOKTCdMLzAK79wEkOY9WSFhAJg/Xu5H+HLVeGFzvlK5tWENx3
UNsucpeYqRmtnrsSxDtu52giuQ9fZMkylSHJTeRViFziudsHxjw9ijm3QG7i142cCsd4N0/nfGK4
EJnaxCbY6E2EZW5NKsiwURZ/IDICRLBo0VtChtEYHkwmEKRtaZydhvdLQdA994hlt41ogp3XN+Oa
kel47HmZz17gP0ZO0mzwV/S7JPHljhrmPwSZoXd1XmApiw2GHl0Cptv1kJWHWWRt09bjCoyKcTeX
BjGSkwJ7M8HB8VRlbp05oY2Ep3FVeNV0EKgU9nlqFuhq0C7gZyzsEuSlnOurUJIe7aZy7SIpXFjh
+5l9W43JpU3D9aQnAJOi+nBjpE7wmE6RO+KJV2Z2y6o02TFlZQncgSzCMr3D2OuxlkxKZnCmfM2S
kYF5ZJb61kqa4c4r61fHKz5KFjXu3F0i3flku+khHsnkoTZaZ9daRcjhs/yLRStZp1lDvq5xRnbO
HcOOiSF2229oMqf7KEj6lT2AFg0TOCdjAobcrc5tgkSWO3S5tpRn3DGaVM9xNTC+sLIZl7JnXvsA
ANfVVFonMwXugqHV2aK79L/Rpoc7r/Lsq1bZvEy00duQDJJ7lHn8Vkc8284UjOtOa+h6bjXveI7L
rbQmbgrpXI/PxH3LI7pa9jAZHQ6NeHUxAilbyITdXlfpdMwqF2ygRR937OZo3ocqnG/QKrg7buCE
99k4f6dwGjdRy197Ivt57ZIHsrLg0e+zoMGhF6LCqSdF16pgvq2Qwn3UKfncfHQ1AW7C2F4ArQaa
XoXPoCznta6y+rIPBn1hNmN5AVJWHiBOlR8QKHs8xsLEWpOZd7zkSIqSeNnFsp/DyygG+9FLKp/B
CnSibVaOisbFiUFTkjUjtzHK+F2q03zZs0VfY1A82kPTbOsp2Ru5BdUi6w65U/kbCob7QnD5reqG
84QVPQzTdUwazBq9B4PTWXrpC2lXM6Z4mcLj7vtdVaVyE7Z5ALpoMSnbbdxh7Ve8//3kosuHm9KX
rnnT+fk2MxVmDKTs0Cj0KuWqplJGqXgtyF+xnVM6E47oBPK+nPV4citqN6Yfp7+HFp1sCjV8ZdLO
DkMVWZsQGlhcJrdMdZxNloISmxkorJMOdVmPEGNPDGS9t11OcBeGCyYtrK2kaOpviLW3sfYfGXn1
cGj4B0CP19NLnXJsoF4qUvegPbQ2DN3CtUmwZpeH7b5njrsYuqY3AFDunenB0edfx4SjD6GOXnsm
maz1HmzbP4sCya8BKxkNHMry3jBXbh4aQD+6+LI1zPQCdpZzRCnQrEN+8meX4dlrZ6fDJmlkdqRK
HMo+rO/J/mz3E7tuxP1akyZbxGX9Ag8qOjX40a79YmLHZyD0LwIHMCSZPJRB4g3zrCgZ5HrBxp+7
4K7zCJ+Ac7r1TPWihD6HbBLVkM5nq4i4xsSCMpuXAEXKHlZek5BUHKYcqqNFLtaChx/s7tKGhIQe
GyV73EPNXZY6OfdQywKhjXivXkFBzTbW3B9biHvjKOtL4eCv5qO+AW0H7g6SBL/FvBPtvU0+92Ut
v/3RHn4l/hRCoAAFPzDJOrmAchE8DUmPZ6ca+veZMvSdggDCu27mwL3jmnQl5p2UNyh7DxBzYXqi
gTU2QGkLsR7ypLmdtNlvptptr1jq48vrF3x0AnL3iaMn3TR1OO67piRXXEzD3hSYUUgvlBsFiptN
W+zdG1k8AmGZ5mJPFkLICDfuHmrgYmPXyGtpuKpewVV+wmE1r2tMC5ym9Xdej+NDXcBLMbgJ75ST
U71tuwhupVM9jb5mcq7ZoZXxuU/aHRwjVlK2erH69rHl+rayy8y+Za5S7cqAMQBlL7gqw4Jb62Tm
/kvqkgVV0VZg2/pMY2dPwgSqWPKK2GsO/aA2A/CbCMVlERW8WaDJIigZeZduq9QlaM1sDjjkb8Bj
3WVm/ElBY+GgvzrX2eOcds/Q45sdHo5g7aWYdVwSp6i7dGFhDDbP8zepN09XdeeYqB4KZ2NPTnMO
3XiXu+jfN8Pod5sgdtQZdMW88usGZoPRpfUmZcD9wPErL6e5g4fba8PZ0sIT7mXRdTrx2ayy5AQl
19gkerAPuL7NW7q46b5K83nnIKu4sSSQoCL9QqRHvRkdhXTT7NdNrq48YkcujBhOWue6oCY60W3M
GjhrSITxxrKt8WATG7smA+c9nbyamIs8vxzkRIlm7YaItGJM0aF7qebYvewGAj5pv5sL6WtxIDkX
a3mYngpjbF4VBOYnogTlRrBWwLQ4GSw82BLdtY2sr4OQufqQVu8yJ+HYDdALD1QflKfeEbkmnqWm
f2m89h1iG8pKAX54Kpq91xPSQECu8ewmhXwpi8HYJk1sPJZOuym85QbvTgmLAH5137CMiy0dpXc7
TBNxx2lpuhDC2u6C/S8K66ZBzqm9A9RAj19qEV2SP1bf+JIiBfttY/elesZp0lzCBG9fyXe1Npnb
kFYG3Nvg4FnSmoaMrIuwaXl2UF8CkA/XsM2MnefDIJuZye9rrcLHcoqbW7BTctPEsNfstrbPZMrV
R3qw4a4SeYlntwWPDxZxAU9Od8IozJVO+hwJruXvm8QrfwV1He5Zkjpr2dBB137qXGJuxpG37Hbe
wRmTb6fnFAz8IMWpMqfkPoro8tBMNskTUY6UjLzuNkKF0dnKTXMf2YV5tqC6bwBv22ikuu4Y4qFi
llJGb6UzE8uDhn8DFb/4choVnA1Zu0+TZeGo7/HYerbqXmEiRXdZk+b3eBDFxYBOmZJnJZpfvfAY
J+SIlCzInV23FNcyvu1SZze3bkzD1sE1R715MLpxOPvkNWLBbMqz0wHmx87ob+cw/B7KoQVdgR5p
V+YTrdtohzvmYPLVGlv7hHfUvkNz1W3H3mpOUZd69J8ept/edd+4sjbbGZvYd93DQg24AB7jSVbX
2OqSs7YQgRP7RUPulM1FZQcmVcMJdmPZSGstkpsMb8qWeANzK8FhXSSGhSiRDKOzQEVaoLRdgEkd
1La+uJAz0LlVLYIjEn770h3a7Bc/aLMNg9o/EbjD0C3viZ6B6/HLDefPvsgm8q5bUN0DYgOrhVHB
V0ExqSPOz7wMT2EcnQmXpXO0gitRT9nGk9AWGMwlzxByps0w56+V1DNKydS/qtEZF+6c7gj4JS9e
dMNpueSTlVF+N0O9J5ItYDWE8yps42BT42B7ilmK2NCpkTfHvHMo21hLwY1AR6FaCxJrlcHyEOVj
RAOPg8zUTxFaQvRQ5n06ReHOCXdyCPdW1mQXYaFv0wFxdjRwuEy05Ka5g1Y5nZdF1w77Ora+abxO
ne6Dx3PEXF6kZwVTZuNOLUTynlycIfCcfTszhGWRt9BObB7UnAzhvk2hhuQx5irzHHF+bnOSXZfe
INlVjQGUozbElnteeJBpkW8yJ2lvdZ0naKK75qC7YN4ablocqBTphaXhyDco6a8VVgUkpj7EDheJ
mm+bi7HOjC6SUcHeITGDsJ4sJRgVm0aHqT0Qz0LQPCFndZoccguQ9Whd1Ww0aXwPcXWZSUl2WqSH
S2Z55GdKY0Sp4qblaxEKXh47tsLPNkR4tApjn0g0M25Gc23q9LZoLeNuRKHSF8fWYT0pAd1CFeYP
T8paVp7TPrXeqIAtKAuYL3Pc8o2nWSORc1mEVZIW9aLsOXwSlkIlrLm3rPqEFIFVUY7TkYA4a092
Vb8HQ+fdteWYXUy9p47uVLl39ug4e6VF++m1KYBK6PbJa1UF/eeI+GHV1TUvo+bw5FcTnMLGqo49
3yTCr2Faafba66TqeibWrYNOwxyetEqK+74ZnHPmC5geuHznlWe21zZ/01uca3wzEMKeIjF813lK
LHoyL1oAbV1PFv8NpDpIAtvWzA1cTPpdiRaGamttC4d4AbqPAhuBcUmyHCGCQPh2Po3FKrAaY5VD
swLphCeNNp1EjjObVv/ez0dji1Maihpq/SuzMLeinYn0jFxOLI3hDOxkRpAa6Tf4Eh9GL3tv6+Fq
nhIDiWHylWVOevSb9qrQrb02JxRVSAueOy4/4ItAmFooTILprWpK4yJJ4/j2Z5j3f3ru+X9RpDOF
xPnbiebde/re9fF7+aeh5j8+6/ehpvxN+NA7sPvZf/KaecFvjuSm62Hxcrx/AD/+OdM0f7MsEptR
YgmHaejCAvnnUNP+jfE4PFDXtk2ESq77rww1pffXabsloB1AcUWr4tsgff6iewL3ORql0Xc7s/AK
5LThknggcpdurwtYFzByh2zRjRDE98FPVkLDhqHcFEuEQtcSrL4qRCRPQmf2brBH+9JDcJGsuemQ
v+APbT2v559chlQVQl0GpDUof8ltyBp/6PdTazOJ0xoIbBS5JN0ghQ2vVDsAB0+K0jsifKnbrVJF
weh/SrPXORnHgeZwBNBGjisdIBGdYHDNMowuR6m9D7tp1BYW2LAfdSAR1lrzVQPKcAvBLIOylFXb
ulHZHbqJ5lPj/gGvOJJoYeah91FkffkigDK0zEoV7qDChRC3ixwCMbTp4xUG8EF2NShaZEuDj/HW
18V4D8RA7UF9IYXG86VeEWugoIGz+grxZRxWA+wvsvK61iT9xUpRI/1kdWRCgAvPfzI8vJ88D03W
CCaPFl3EKirt+pqDt+FAsVTwWv9kgpBPyx4r+ckKGdijYm5yME54LPjwmVmkFvRDjOjACXjPu87O
ezwjSwqJAe4J3ZKeOhZfJaLEI7pEuMlLX6lUz9BB9H3HD8B5hbxnbItdk5bph92r7HJOnfqG+Zzz
FVvW+AgkClA5KSoEpQxjU17UsF5RjtfDuA3zoX5ir0Uwz7zkqyBZwhNeTg2wVxNowFP8E8bS1KQv
N3OQLMFhTnVneVHabPkOxic99PkNsuX4NrO6tN2FZPQc4oTMF3tJf0lRdrsWMAwGfNicFBExckmL
YeykcVlYg2Ws7Z9AGWXEkzgYDjkzbsfCcBX8xM9YPpRG3ANmyd+MLI4VA2HwhI0mCyqEMlGvaA4J
zKkpGiGRXkvKTfATeIM7aV4jPx1f2frKSyRm2OKSn5wc/ZOZEweTCGmFPFxhVpuU9n74R7DOwJ17
2/8E7piVoQlgDtQl9zGxTHDkY5Z23AYymh3O/64o1oEu5pvwJ8iHDK2KhWBnH5Il58eC6HUaNWFL
+7wrCZKxLFm+lkJhPfOXoCCrar3Pujf9DYAdgoSYv/UXSTh5xMOORE+10NS3JFF5r0GUshHHHg4j
rlLAHkgAVQGBUrUg16sR7VHaI8QWhg5qZ1YkveAkMEg64p4f3QFhRnPbYHZ4McFUPqfQIz88LZ2T
P2i47uYSn5QuQUp4HZ+VBlK4rmxuFFNvOe++Cy/7OiLZ0mNGtaQyBSMBTU2J62mTKeVctNpBWEoG
YpjuuKKoF7eKu484jbhT5j/JTy3nQLoT2YxAN5vE5K4iz+Qrh6Ym+if06G9PzU+aVJX4OMRiZA96
PXpBjb7X/UmfymwsBGAjBzx6o2Nt0N+RVRVIC1wn8dfLEtvsJxzo0NAB+vLAvleOkcAIXnKvAD7k
X8x8rF26xGKVvOHcoSGBfcJCrM4wdd39aOKOiwOF60gsIVstTMJr+ZO8Bes0ac8RreabMZc26cmw
F4BTBpeQaaJHnig4egWB0eFPrhfFZHrN1JSfm0iS+9WarJFY4kRijxq6ZE3s68+0dcY94JBmPS0B
YuVPlphKLcX1pbfIGItyb77nsHERXgUyfJepIc9AeIkm8+gfMLHW2QtsF9ZLsocOQsxeYTw3Jtlm
JMKYzOCZ75Nkg0EFy12Ds5X3+9I0RfXV203A5fonNk2iw5BPzk+cmjKXaDUWZ5O/d34i10hqMLt1
/xPF1i6pbP6SzyZ/otqsAbhvwQVn4/xEuXU/qW5u8hb15LzZS+JbL2r1ni8pcGrJgxNLMhzIN+Pe
4Tgr1gOsPL2EOfmYaINcbNU063c3GHHIJkviHBsBQUIVQTpsPHoS6ZZsOky67DQs4Mpbq7ar8tCG
vZPcm04xunxsmDwxbZjNlYplvgso98dsFBCVIFPSf4JEsr6YY/rXJMvab4ahixuB0mxnN6N6yqNR
JjcFhh4OFEFPt0JDX76lSxYfjN/RXqsloc/DzLkmcaKSW3D8TMchRgz+Q7Qk+xEGJYqNWxTNm9s6
S/Rfhxt0HaYRKj62Mz3B7KHLjqDyiy1QZPD3rp5kw3ogvFGthn7jJyCxN0iPObWcJYGw88giRDMc
wtXlUiSKAOX5klmYBf54EoYQh0jpmGX3wtq3kKzWS95hmPXqFcveQiMqluxhzD1c+5f30FjJ3C+5
97f2NblQd4oA2Y3tNc9VhO6H1FAkkWkPWDZxwxOObUR4pD1+jXFqHiNCmqAu1g2JrfWEZTIh3ZHr
a9j432QSf/SRAzckyatNH0YFw2hG1ik++NF57jMuXNuqJrEM8EkXoDapUDYfkX4z62XkldbHwQmZ
7bkGgr61jW2T5VM+2Q1cx1zNu7GVxHGNsfyqqqaC72711lNcS2NGn9wn7mEgi2k8zzw+X6HnEZk8
6AVjFRO5tlzlcOT2KSskJNIH4jCNrYDmxbPC6FmNON59Xohuk9tJeqwASm3jNPXvMnSZO1djWw7B
JX4WMhG/ZBL2r7m0u804T92H0dhQSGbPgZCELhu/qxt6Z5/NCg68oYTYSX4H2RUtru/LKa0M49Eh
SrkBcaiTai0xfpcb0SS47RqCKZFg88Bgw65RDm6jsLetrW6j8Vgnhn1uLBbJJCHZQGgqS9kvOM2z
9BjMdvctFzVS4eX44h1Z58eiAOq/5kTQgGFHU17PMyF4xIm0wdUw18Gl2YtpYq2o4o+i7mww262B
RFTH/UctcFivSISY3tC99OmGAGw7WLP9Bd2ropA4Ri5TGAp7k5RkZNr5vC8mFylNxm/5ymqlIH8z
s/2FE+tdZAUZoLWouN4SK9890URhV80CS3x2zdS+qKqPL/LClfGmFBL+JUVpPEcogqgk7OONtW+5
IWZd20qvlQ8fcWV7br+pkV7PGyvrW+z/mP2ObmtJALocdoQstkv144JOuOdo8vWgQ81XpHInYj0i
ZoDdC4l3CObqyUYu569dmVRHSTL3Szo0Kj3AYWxuNUYmwPeRaKetSvgnL9kPTck1NOToakw7Mntt
eFjvrAeaW1EX3l3YtcivQ+H1bED0zCgfqTnPCTkC/Mx2rsyd7tJNy/xjg2g6GVYGjemtG7nDSYX8
etZhbM1YQePZfcoGumKOjJgEwsTENb2VsSOL58hNq2/UYYIIsn7iuIiIs2m3JPbMxLCqPn+nUQjv
Jj1O0aUk69NcVU2PlZgbB2uUrEh8InqblNEKB/RERHsa909Z6FgsvKjR16qawlOptN7yCrTfhXKt
uyHTcbex6iC/hR+IM7gxgyehR3cvdBB8K1ubj5Mhh5N0XeN1MkPwliiO59uhStUr5y/tgtP0wlmj
gU8JCHSIMBhIJziaBE4/V8kEwFxRY56RnxAbD1MYBnGUm2m2r5jHQ9IMbGx3ERScnE7ZZO9jsneT
qy7BLnNg31BceL5GclTp2D6SbOPlu8Zk8MVIgupGTGTcTPuQJVlyMYO/OrnKQeH2v6g7s+a4kSxL
/5W2fkeaY3EsD90PsUeQwU0UReoFRlIS4Njhjv3X9xeZmilJlZ05ZTbWNlMPWVWZKQYRANyv33vO
d3rPBkqkMiznG7B/0beBmcK70TQm0UP2lbM1nKWevGxGru+n46TtvUhrZeFp1al3UiTUEYUK6iLb
SeCnWJLpWETWa61NcJhJhrxEQSyFzI5pRQgCOMGB484GkU0dPjMmsMMHie2WsTxPGlEu+WRLPG9x
/yqJsDQziSm7sSPnspsg2SWOV1vQ0Twfy77v8GAuVlheA2/G8d273uDeLIQGypVbByHyM/lI7Eq7
nKBpkJgSURPcFb19sUldrMXOdeExa9+nTPWLLZR8dPVQVnyX9vIwcFIpKqkZg1Vp27bndKkpj5pa
ER7j2E3p3WCwreKTtM2Q3oZj0Pu3vorj8ZAZxgTTIKv7LiAK6jqU1CRQbQWJyBGeX3dnMGmqIyNF
RQBr0ujygFGfMT/p5bP5XC4ApiPA7/5l/ivjz3CiK3IVpwRHc1J0bpxw30cH/NVgCPPE4Nmqte3M
itlSMjvis+sPpsNdoseekIfmEjon5+ia7bsdD3lo9ydvLm3yZaUh7EA42D0TWrOUgf70Ia26sjzO
ys/ELqUBH+Jw7ZPsXHvBGKzpedfdtssdsyOCYbA2XTL6+xlfaEyMDJqYXZOF7F1RFeP7q9p+bh2y
JB2BTKj2yZu2LL8wL1NOud2001yei4vul3zEVJLb4IOOa06VqOboEAP/nledLIP0iU3KN0dv6irK
HDGO18x1IAuSJ2KG8mPqk3/xhmVkqO8ToGqbym8uhrs2VhztjD/c4beIXjKKO3JUZ1QAG8PlEDig
1bwc7ITJDD5oJgTbMJaBx5wg6HaBo1uiWkJtXakyf4kyBiWrFjbMXZo37Ile3Hy23ImGMZiJuwwu
fwZtvCdJNofsgZOocFaLOxBSOvm4JVRMIKrTlWxTVWrF3xDcWA4GzoyTES0Gklu6Ip3f50S77tFg
lKVgFQOw9HboP/Q2UZa9n7iXfBc0SQPmaG81esVDnxjWpopI7qtk4o2lakFxuIlDiNfrxEqGNxOE
+PZQpAFqxAxK9gBIO+z2ymh48WaYkyeTuAn3I7zMRAqV0Ez03cI5IxAbkg1/GiMuciVhbdqsBnxS
XxBha5q+6E0TIOEtSz9w39YxH4HKc2LKswYUkuVXR7IQrXXhB/E18DxzCXlbgI4ViSR9YylhiMgi
cR+YFXswTrPymDFZXd5cm6/DH319xXPZPfLNRwcvSgB0dNgc6u24mGMjquk1MSJ5mmcFRKBNumxP
fqxzGlw7IMgmmlG3hXbxkpAS2+CGKUOxDmpblJtxkA35AsTTFzdR3yPWWVy6/aDJ0umpTfLoKmQ4
SbhNzuQYaXA8tvT/u2gD8tVvN51UKeFripSmzdiTVL/x2sj/QwP9f7tv+d/qNS8f9P6DEPT7B29e
u9f//F0Bimr08n+2vzsD7vuven74amAr/C4I/Rf/4b99/T/xF9AblH9JJP6gcjJmf+xafv8j370F
4W8RDGBkjiCEvT+Yw39IMcPwN2EL3xGILu0wQG75vWnphL/ZDn8jop9FoiGOhH80LYPfRAAKl3bn
7+1M/Aj/69J/UtP+Q137I5zS/tlaAALOu4CNKSNQlIjQkxeA1g+KdfZWQRgcBxNvSK3TokdQxLU6
e7HTnIJpDFiOFlIoKMi3BOVNH9WYJ6fKRvTT4hHb2PRRaFpiWcxSgzSFReqB5PbpWOO/OpfBlP6N
Q+AiDP2HcPSff9+LAv+H31daBDqocLYPkSowPXpoFRv2PzqAMeNuumgI2cQ5KkX8R9LnTzrkH78p
93fx/l999C9WCKSal8ARdz6oBGvXQifnJmcis1vaqd5mvVVvlgi0eW/rSxqxvJ0ugcR0cIFF4tpf
Z6gxDvNSARxi3LoiARXVqU5v0ciin2/49nx3ui3YJ89x189rFcBRBKkuDmZRD82QbXWh6GwJelSk
4aI1bxDgPOfKmpcNWWrtXZ2WDF+6sv8wuCK5zllCmZZMals0sDDKSNRn2UfqrGkKvaT9iCzAampQ
BhzpZ1yvOw2BXlTv85CKI3rxvdVlFseilKPdaIuPRFBOxwBi0L5wi3AVT4naZUFPj4RIJ5qBTv/c
KCn2KSFgO5TmlEQJAAsYS/W+drKP0o9v+3m85/So2Ss2wPCfPVNFVx2c6dOcRZ/M4lh70tGv9OwR
/Jj6znVGhCJgJKauaNA24UwOFA31vTuSEDyEwWsH+GSDNqJaMbM9MWC2Vs4w3xIYIHemzbttL2J3
baU07ZphmnZo2qgsCnVTxwuJulocdFI/Ft50ipcZKaUGyIjwA5McvuqW/mdMG8wV7Q5DygS8tzQ7
RZ7THvWXt3XGBnLPxMy2nAWg0QyFmlFNx8nGF5/HRCdbWFZ4KWkozaja1P3YR+6Jt2alrP4qniP8
KqGDnDKdHicosfdTCRtqKj2BNLinUz42aDatR7uaxi0RhcCx2NHRctbpbdQn7nZw3eIawQmOk8ze
4guMSTnyxb5TaXz0vCZcEyuXblvEhljrfUnLHjTAAI7gESXHiW7X1qqHYU0c4HFxNeEwnHbh5/A0
T5Iu09hYdEvDCBUPrbKrMQEzNKlO7QX+bC+oHrucmo0w3n3LcBJn+aMQbDg+jXQHk+NGUr2s/Bzw
nduNa/icwboKHHddOOBJir5hEox7b4jkQXI3V5Qne1+CnzaIgF0ahalsEGsUcGzoxYbruMgwl7Qo
VYIQUiXyCrsS4gpHI6/ayCxj4gCwqpsuuJrrJv+Quba1gX60n0bvw0XeuMkBgjJRSWE6kHbkhwBk
5hQNREfGLAZNMcGlcfbWqPfSYdzs+ckDoKUQ2U2EwjQ/tmX4oEJGOu08PRJqdSUJneu6lIQwG2qK
XDYjcXuTeVqK9jbABb4OwJektD44gOUKpgWwDtG/5kTsXDIzYXFgpSyrR2NR2k7Rrk3LdwKWth2l
1qYI6LBSoWA7dr0bMizTvY37WmXtvWL8bmn7dgqSU0YgHYJawBYrKvKAiEe/wsbq1uaNoZXke6/E
B6hQO4Mh5wEgXrKL1Sh4t4eJqU1Cnkelfehtkxu9pgVgXvzIivRFI7lVkTevcX+4dI4aGtmEVqwJ
FS/WU+vS1WtUdXTwnK6a3iQbXebyPoyxZJLssZwz0faHwkpSmLzATXNPfCzxm1zyn4HrirF/1BFu
7qVDwucmltgzbEGTyamfo2YVCHBIkwCD0+uHNi77u7F3m4OqnYB+DICdgl4mYn20Ol2hBeOyGITC
fNKOO2+lnz/OVdZxjurYH3LvibZlutVNgCcZTO8KxB15EE6jb5w27Nci5CDSeRh7SYjPVsTtLUTV
GXVMLrP7zNJib6Eo2Qbw0lnsjHwuGQmRO8d6l3FGXkJ6ENjAN4wwl4MegwXaQf0tSKoDDa9uDzTB
WVsoPQ64bV9cJMVbQjfuAwVFzk5jazchkQGtkQ7b0crsIy2l6gZxycMPLpHvFcBP+9jPU8rfd9DQ
t9n3Jf41gdXj5x0UE/uYVWZBBDQQMLUWnsN8pwcVSacRJawO0J+1dv6hW5rukBN1chNf3q6U1hSi
5Li9ikZaJbWpkdxn+h7zWASpR7PyJXZV3chgiSE1CbXJhiI50H27RM1OZgsel4WhEifdivCALuEb
cjprxby0Ji2rJAGP1y2hFfLX13uxOP2ya/90ub9Y8jKvKDDQSftgweJ6MJre8MzwacMoZ1n/9Uf9
7JX8/s0GkJkFf/HwdPz8zdojR62OXsBB9cG3jiY4IE/vs4tXc6Nl8/zXH+ZeKrN/urAfPo0S9cdK
CB5gOUx15hykGu4YBLqf3DLtj9mYfLEVcpHWz7s7GqYE4nbOcugsBnukzUkygJOOwNr+kHEnNxz7
gce10y4zfXdCbuuuOZGVG6W4hbkkMApTiNw4c13diSyFeZJrpL+TzU9DFkeTz7qeLht1e9myPfbu
v77OP7t/oXSgxHL+oej9ZahuW15qW/nlxB/V97Uq/UMJ4ayHEvM3H2T/7En64/b9+Em/lMJ5N1Wp
cBL3QOqMPHhx9NVezMAxmXxXusFvvoM6cJIe1vhLpdAE8Lz/+lovt+yXW0rFb/uY9cKQW3t5dX8o
bvNy9IXFPnLwW4ku3I8J0wDhQenmW3cKeAN0/rbI/+ax/bML/+ljf6mpYaGyuNVITskaZxnQ8kuQ
2+zMGgSBop17qubpJsZOcVdcqhykBvnfXPif/grcZBJZ7DAKEbr/fOWFsCfTlMo+uKqALc6WqKQ5
o+mI13EnUfk0/i1+AupN+BKs+u3ur7/5P3l1oWH/4/N/WSX6S5KlXSXeoSv6z65R001Xxe6pbH1e
Yiv5G1/m5aTw630Gfyy5x7Yj+e+frzYdlaU7sCMH6YLltcd8XCkTd38cxf/bE8ufvDl8n//4lF+u
ybi4xchv8w5lh2IJFB0deULEOqS0f3P7/uyTLpciIINxWv2nha+J+gpGqTgs8Yg6I7Q/FX505L39
myv608fkxw/6Zc3j/NF3mJo93k48MWrsbjMn8Pbk6sYrNffuBxKRGQxDoE9v20uh7DRdc/7rR+VP
jsyeEAHe9FCgK+Ls/vPdi9NpBE0Zuwe0N81hQT7+2DiefSTPwD00xJDWTZRvkgGzjBpmyrckbdfM
NcQqKK1XInTybYMrm5hVY6qrPCk/+dpF2a+cJ7xT9d8cmN1/ftg8YTM/Jb7k8hvLXx4Dyx7ymOwH
frWkv8IxWa/sVEAEXAqMidZyniIfcH8vDr0hFg7AcLPiEGqRZptTvsuq2A4lW4ceqiNlaryFls24
izONgUaPNbz91jRjchRtSQmHlcUOhhYqYsDxjKThdWOpbtssNbVVE7fIKL86StireWzLtfAH79oY
80eJ8z/Wg/qxBfWf/x8p7GzfBrSOmO2HB/rSK/ve5rp5Lb/+x78/fi1eq+S1ooz6o/t1/PIf//7D
n/zes7J/o4Ht4yD2+Xk0UHjIv9uHg98cPMCcSiOb7KrfTcLfu1Z29FtkI8+jqSQvb0fIKvtdamdL
ErRQ2kUkaPAgSpaIf6FrxU/8aQXFtiyla/u0yHBihC5RXj+/gyoPlcEzlOyM6B58RhKXRY5jRSL7
XWSV49csnOHR+FF06Gt00pTwsH1S3z34Swl4C2Sa2CJlFRnRxqO8N7TwdzZezGN3MX0SPjXdBHHi
n13C+440cutdR5P9i3biercUUxbwI5vuzahYGE451IQrPSn/2Se5+amDqnZua13rTU+KT7zSvQiv
gmkJj2ocO+biiYyKAznyBHYlo16jz7EGDF/je0z48XauwqswH4dn34EyKuvGwXZs+2rhlQq8g/YR
Q7fW0uQUzp4+srRnH6sy8Jp1BUCNqWExQdOCxGtV64oB4m2O4rdeZ57dVJvUiuS5j0NVoaUJ5MdK
i+ElItSZvJBAdccmyuJHTiwcehyRI19HJpXezLkeaQRYk4/QOHXVbVcUw5OuJKtZrpW4YmZLysU4
39howA7KNuN7LcqSWUPB2cIUxtxSG1tYZCqCw+fClk+xGN3rznWtxzQPxLNVVxDjme0Ox7kdxvuB
/JStdpPkSzgXfOEJTHd+8QKEVs7v3lOLYpSDcNE79bUoFEsSt7l6I1GWtOBUoMUfSG7ilwwjZDdu
Wu9zgGu3yDJi4ObBPG9i0I8Fwm0A54hI1N7xOR4hD9RHL43DzWDGE5G9aId7gulZG9OHfkIgPGbJ
YK+wYFXXJWLzmCT7ZXxlmc9OI5yiMw9Un5GyFDYWKuzB2yaXo1WqIxovpt7kAst2tGj/EFilempM
3W0Y0MKys+riwbKCkonrRPeA8eK+JollbXWje5vigtxiP0wOfl+KK+4o+CfLtLtyycXndlmWU+pB
uqzdKjvPGQ+qxjH91uGL3Al3Mtg7caDjF3ts23E9RrpG7dKnd6QojhgedPMRmQ7Myj70XpVNs0cR
oMr0lmRzHyyhG2jzSYjmBTPWvOJcjg2tHZ7AU9HrqfqO0oLcPfWhBGqrp+yucRhkYLwGr5UEYOUR
ViCXn1CbkRvdAw3vGk6fjpMHqwbf9yPvQXA2NiP5KJf+5dA8ZaeCmdOzCUT4iFChzje1Cz1mz78E
4BCXSAkpUQMqYbTdHnKeqRvB10fKU4fSkJ68OuIubFAk1r73VNGxu5Fl6MKYuuis5hKjRhyARRZD
0ez0WJJlRCqzeUOihWQV3kX0GFQ2jbNOsVAghtMjeWH+fEdMDgy9NscFkeFYWjlLmNw1U5vQyukS
9TCF4dysxxk6mxv5w0ujMgSryhtPs6jkTQ7VVuMrHBZ+EuldxdDbD9EFKRUuLVmwcSOHxzCanI99
GYBRHKf5LSpU+TiD7tUHx8+8N55v9S316f+tgDnQeyMDNX21iX0q1i3SXdRBaRDgwmgrrHOlw3g5
K912l9PV3I9Ji67vosbdN31e3aJKcR8HxMenWEvnQ14aF7MmikXm/ZV/l6reLjeO39pboZEN7XvS
8m6XMcNMzzRuj2C+u+7SpnzPeIS5q7HrPBnkntc4bN1tbC/tIXR9BXS0CG+qqkQvUegZc1jgxuLK
jxv6+e2YXEl7oB4Oc5LgqTQpLzSItkdL+qPZBn5hbXl/g5sg78r7UCfiwXMmp0FJ5bvpqVlG/OpF
KRB/ARp5HxfiNRD+XxpwGFzX2HTW+A1PGcNs3nnOEPSs6dFviYnP96ocW7MlQYxOlSjSwxhVN2RC
Eb9qW9LaUNZBZ4s6+zCFdnnvZzQzJS/u1ohS7TV/wZW1VB/MgGanMwrdoYpuIR4m53wqw/fcjdR5
TOJ8Zzv1cmp1N1wlfungFZbiLV/a/DwMUBiyKu4Y7cvgysQz99BJ/Os4amkE9lm/Zi2qKOGI4sXi
3Y/boCzfbFPUgHgtfXC9ipiAtN35Yf8p8wlY4tVPj3bub9PWSTdWlg9fvFp9Jewv2PrGmglBtxUG
bAvXrNtiffLaveyldyRm8taxvACasW/d21BvmFwkFWS0+ET+B3q72p/Etius+XluKqbWsZ3oeydG
uA/AwWq22nM2S1U8LsyAdiW93V2dNs+FmJ1j0XTMOrR6y6xhLE6Ox/hrxREi34z0uyMgSMu062Jv
eLAHLzvTFgfQlzfdjQa3CLnkcz81B68qydMjyX1lJga05Uz6U1g71zY5Fcjh0lDgQNGk065GItA3
ddBnV45bhYhPEJLDgJZxsVep4H/2tVfuiZ866Tzus3Us53beYD+CJmKHHfNUVdOFH3TxWs4FipXC
719cjHYRyp9ZnTGDD/sqtVuxhhLRPrS0IvdLO4aEN3ghdcIw9VclyPty55Qk7Zl5cVdLb7lfyy4Z
QFSWAxGEHhU1xYyVwBQYe4VuuTHsA8ox9bSaHVMRp1Bk/ntFrONt4HfjrcrxmzcVpt1gZBOLImZG
qBLOdR3ecllEpidyzh5dI4ByxFFH3p0dj9MTTtYvEY/7yyL9DWXPWaYQfnMDcYMFsX1QPoou2IKl
u9a0JLmoul1BI3DuM1h3L1BLBIaAYjplrmYsIIoL3XDsyL6K9HgOwly+GSePPzPkbmkJwjIMI5e4
yNIKdtpt9MeaEdIBDRpI7gC7pqatCxIpecoltoRyGeU3cGzFM0KnZucEC5Odi49UHYou0YexiiQx
VAziYD0w3F+RvFPdsQeMe4iuww2yleXkUJA9weXLT7hpp1PrYL3DyEAyYik7NqRAXi9DBRsY8Rpp
gprvSkbd8u60UhzCpDMbF5XnzpQtQoLSlnsAIvulyz/OPjAo5uibQI7tunH1xjFyEwhS9kLGEkh8
y36Lh/qr643UczWPIjIKBDoc61iIN2U3EmHqWxtkQPeW27onJvXeEQ++PCiiXF4JmWvWxqOkkKZE
nRBWYtd0ivy8xSH5DonTvb9Y9jXE2XGHDDA+VyOiTdgnQGmLitlVrNdSuc5NMvRXEJS/2TYRxnj9
YzGtmU5LstENFA450+em1LqJchJHKhzpVx30q7211GhPRnaVSNvDYxfr7uPsXZr9ahp2oz3diAQV
QcDZdSNSrOTxAAfZjIyicgjMq9lroh3InCldu+70wh8arjkMLm+E8mBmyES28wgDvRZN7n7i+8b/
7fl9la+bRgWMwci8kImwDpXyUprrQXDfYAVYxX0DkrGN81tHBsXFaRjfczIPr0tUdmBkrJzEjSaX
d7yh0bRqmlRfcw4p76vEkV8XfA44M+Lq1p0c+0b2jn/qdSG/Rmkcnf0+goc8puqDC3fmSgof4k3W
VurFssvuzLJZHNslHzemDd7R70aHoMqA83hZf9N5dviCShoQalZV1cpmo6cucrPmjPMSdbIGjnKs
y8SYyyhrZvVAgZssU0ViSd0fIo0n2pLB/EDsoVk2ue5PiOvjTWVF1cmd8vkJ/EB1OxGcW6NHuRNx
k78QKdIe3IBB3py7exfpznbG7rEL1MUyp4kFmlMb3kiQsdM1cUK/AV1qJVic+4iu/YohzSfBUYav
OSSRoWfBo36sn8FKyM9RVeQnOyH/VWrjoZ1nqL9akh7DvwHfdZ84iGPK3kd41izTezzTkfQV+14c
OnzybIadCdjHpwBWQx1APO+G5FNoxVSZYI43PQWR1gm5Ijnk1K452qBkpqEe7thRJzJYKXk3QvYG
JZG1EWJuaFLH3SpsxnelGBnlUVOeMn0xI2bDcGTQYaNVQA3nmBz2XIn+eoRuGwlcP7iT8fEVX8ZB
RF+SsHGPWc2PooQVKzEW+n3G1HKFIZZs0Es+6s6B2AlzacQOTMd5x6icr88bvVtLhvN+SXPNEKqq
1qlfN2+CB+YGYvKAAgh6BDHG9HxsQznRRtahQ4kPSVrgjkjU/CGOlaFeyIrX3I4WLoVE87Ja0ncO
Yw5xptreoKoi0gfJ30fLWsYHOOtoU9vKtV+qoLY+l0HU7wg1bg5yuqhIVVQ0GNGnkkNPF9p3GjsV
YUCGcCF8XIiJo3wXMhALiGCo/YWT3KDWjeF+STTrzzi1Rp4slHD1hVhcxf3ZtVBMkvMY1OQCIp8n
I1WF3yIK/qGLrqcq4uc33XrCcLqJmONRnopT7mtgtkGJ/3g6YJB/DPuQH2MP6g7LjoUGoZoPJgyS
3expCOtu3R3xPnQvraiHV6JXNRzH2H+ypBNd13Mdv2PYZ/uc+4rkAi2jPbcHWEI5BGd3KZprEJHl
SxDGPbWRlMdaUNKilYcKHAFN36JnUOIQLXLSq8q2puu2qljiicSM9g5EepK0asTkpAWFu1hn4btg
sHoB/sp5NRdx8Jl2ux+swMPnTw0l0raJ5uimw4f93AI63s8EHh58x51e/Sot2TvyykaiOaM+Ifjz
PsGscMrlMkEENKNZEcUwrLEMOts4D5bjQqfiIcKG8gpWQ+19TawXIRoInhfjHoPZK7d+PuozUxuB
IhqEMAQgW2ycuK3vO1hISEzqQX8FVjjAefTR6JjBM2dfYv3B60HiBOad8KUwbrsPjPNN5RW4xDRF
gInmzAXoc8mbQjr/xMLB8F6YPt00AD1IRVqck44dZ2fNc/ncy5zKdQlwj/G6Awcr6ptYD/KmILwL
LAH8qQ3YScQsBJaYuzzomluK6wynLFEWB505LDUtm+hDUrc6gt0jC8KJy3CPi1B/QBDTQ3tf8vJQ
wtLcYOcNAUPaCTwLqPS+QHlQX5Tes8kvat5Q7WMdo+yMliE7jpXvrKQZl1NJeYbecBmfmQQTTE4V
et87I7vJkrlPpTOpUzTYGQzNnr0oHpcbucgGnWKDSEZ7mX2uDC1LXMskV2aFPAqEIu1qaRcGP3Xm
y9fBs1JilnJXvEJRzluaB8v0yUOgR68liwyNh84T7TaJ6p5UA2Nv3TrktNvG1rKbg7w5s483L+kU
N09D0Mrt0ngcDMKOsCPkGbeowMKPQCWCE8OXaWX3g4TJ4JTk7syUWNklwXoVZGp4tgO4MJI53G3s
Tc5eG3sB6Dzm/stiQ9mROCeBTocFCDxJ1QmcjlC03mu3AfAO1J5+wq0NX5uRDkiaWYRSTWonZs7g
XAc4BKSjA+oMPw5ZXfORwdu6uvQe7JK7RHaBvdEW7k63ELAUctMP2wph9pvlcb6YloxyKcp9OvCB
1RJb7toNIyyVVGuumvKWBIYPKs6Ks/Ikv6wzkZ82eXjofm9o/o/1f/9f1CB6uJr/qq37sSM76t/u
9OuXryb9sbXr/vEnv7d1vd/Cy5yG1qxP7xPZ3w9tXRhBaEEiz3Ev6GJmj/9wUCNCpNnK4e0PmPH/
bus6sCQ9piFwaiLPRv/+L2Ehfx5/wsxFJmR7OKh9XCqO7fIr/Dj+7KqOeOVeDvsm66IPQOvmW7JZ
EC5xeNZvVrTkV6OI2ubv5p++92s72cZS7lMuShTZ9PjkL5/ckwiML4L8Qd/r453SrmxegQdQI6jB
Jmmpb+AurRXK9OeiyfBXkzdJ9zUMCpf0vXwU/l4UDemPhknOS4yCm04Smq2VR0xQtw412nJhmjhd
52Vs+sPoXLzCbW+TA2SPHW9AA3P+DTrZyu1mXbFNucELGWDT61w70VMpsjLdYpMe7mdcf80mZ8x1
pWhTg91vYlDuENX758oL1A6yJ6a0srzyFMFPtMhn0CkQvaq3rIXD1bnDZiGLdGPi+n0otH1tkLvc
c/wOPkWL3+6Z/WTXumxsVggODMD7Ej/+aA0F0SkLMaZHlixOhfH8lSIh3+NF3EFtdo6dQ0jVOKZ3
YdoHu2GCJEHRkq8tu3pSij722LAf26PzYcC1Q+1Chl7ZsgJk0LfIm+6nVeR6t1UzQljAU4Z4JUF3
2PMHNdD/qvGBSnVkyvsNjCo9Oa+gMaBgR96VkJQ8aVEg1NMksRQ7rPIDqy8uItppe98HvkO+c8G/
VFOExma8HXXfXoseqd4S6wsp2fTA09A91ACP1xzmqzUadeTiowq2eUjlbCZaM51MEGsKQ36rcuXR
E1imrMFpt7bue+BF5qJMTJ31kk04m2XlHHJ6rLsY3eCJUgHfPzQ0+PoQ6BgcQjPBG4Ivwk6KI6nR
3pfGHpJD71H3BpZv3bCiwoeiWHmYl8Lkm8qDV5qAj8pW4RSnnAgz4WZYoUii3tBs8JDihHhntqPr
mVdMsXkNohDV/VqlS/CS9F54xg5lv1WDU36hPqWtTmtFunDNxp5tOr8WE01oZv9C3WRORHTfDHFH
eNapdJvmlC5l/alES8x3nWk6q2Lp0mWrJRFDaxNBq1sJUfs+i75f35WED0A3jOXFQF/nGOfoQ8L+
yRdEhDbCxcKU9n6ygUnucysNP5TS0u3GQv64af2KvDRp2Z1YLYEfnoV2U8qFdh7uQevPOy9J5+SU
JA2lCO3f4MV0IYfaGP/yTRu4CMNa/NsP8xiK42WcUVHYJuX1wgt1zO0xbrAihwkC/cJ7rLXmkBky
V5n5Mi+kArheI7Ygvylu3bIeniIcvumKQQJmTn9ygBJZnh63oaSVeprHzv5at8Bafbe0n3I3bft9
V9oeEqcxjnae68x65ZoWXO9qmaX1ENLB2eFBW65yA4kUe4SjXaY30AJWbpGlj72DFZ+C3boiKcLe
NfzHXctEBQ89HRHUmFBbd8ViUQfMX/wkfzNlek33dN8Iy9v1M4a+kvzQw5BG7q3vAb1tPcxwXQ6n
hi7GddSpfLXYdP4cjkmbcrG6Q9a0N5W/mLs2E1/SHMcDEyzS3Tp0XAIK+7kKAg5ICVcUzCVt/TJQ
dyjXuv1kmfCKtp2z7capflt84jxnnBQ3Ys5AupZzPF7HJielkJRw/C+joy4pRBBnsyxEB7lU81Dj
cZH2W0Az+VQ4fXEV0b6egpL2Aoafzt3YdmX8r209X5hXAVlp67CySt5L67mDOlhh4F1jc5Qf8xQJ
pKmG/j5ybZpQqWKWQ9dmOC398rVxW9YPnDTexSgUbyJnDs6D69EdyenMRZOVbMcy4dROuMqdJQCA
gSfqgcDUY/wA25W8scFaSCGnbuIgk7TDe2eV/Y0Ze5NvU+yuKxSy822oh3Q9d7VjrzJ3CniyYo3e
bUjewiEj4q6SRBaHjNYxj4l1QQcCVJLjfAyLOkVVKhhbTCM/YeIBTsacpAvs7PSQD33hlOu6lCes
NwChHD899b78xu6kbvCxNftCt0nG8W2R5gjJfFozeUfoq5cFQ5My6PQ21tzqL0jHwUwkOdLJwK+g
HjkgEsw21VY20YAfkvOUDg9qTvJP0PrybRG44VeR2v2ec8SEXYoXZi/bAQ5k0zCU2A7DEN60XV4+
Bdyn9TDZSN6LuPoCis27M1Mbv80Ae7wPpi1ZZrulSrtN3cGhYI4DjAhR1aVVZtFM3uaNXs6JWsiD
7MVbg4h8J0uz7AvHHq4CFW0mXT1bmNbLC1zSQdlrchey1OC7Nu38i6IR+XPIcKZV3eOYO96lS515
pAMFcDVmX5N9MiCbn8PqPnaZXoJB0htkSNYduR/xzWThn8kN073Q2wm8QgAgLkiDNsHpmxwBt2Xb
MfQ0sTjsTFIPSKRVwiWk52gQX9pgQknveIxnUZyizJiPaonSNYoJIBpW7K8UCfcbxylgQRbTdum1
3IcDxfJ/UXcmvXEraZf+K43es0AGyQhy0ZucJ0mplCzL2hCyZXOepyB/fT/URXXfchXuxbf50L0p
lAtwycokI97hnOcEoQgYQAMwLCMNG9QNX0LbD7d1N/IABCPHM57K1dg57bDOjTm65bqaFkjdDij+
Fo2cteumXlwiHRcwtDtrRXRe/KFDQfveD91d1no2CnRrieLWAK1a7G5hC+qzUkxb+IbGLbWgvSZr
lmQCPX8JMhaeIv8kO/PBZnURkH0HFDpoqy+ji0LdL4vm0PlATSk1UP7LptuXyL3IDfU9lNMVhJm0
kVsTDvPGxQx5kAkBR+AurmwieH1z4TxovnemMtgARTNoZw+kOt6mWoX7xmMTbduNzQtP93CmXGiB
7C9fasQMYId5vb3KuPK3idW1eNeLYPzmKzO7qW5GuOpn6a9WuwzbuHKO1uCPXxMYcuzndclc0zVL
2C040TahMoNfZjT3B+lOHqu/TABvTPCTGIPnMhmPregaGj43ZxoO5onJBH4ykdjvPmvFy2AK/cBU
C0kXHGc/5vNm2EjkjwNCbMDmEIoebp9vuWfTG6xnTL3Bz6wNEHVXhZfvWWvFKQeTFRyTznRPIR+1
yYiHCNTQNmKWUxrziRlOA6thBhT73BTWCwEA/gqbIFxnNiH+OhJZ+MFizxxwsfmq5Eso8ivAMuMZ
dXJyiKN2Oic6mfeFOQ2vDnzQM0PAwsA4uCz70d/vRNszguxMkzweN8IvkCbT9LNPZM5ryoru1kDA
uflgpemHYxltKG379UhpvyMtrX3xptK8D6KiOEWBZe4nDPzMDFiPY7Qj4fs1dki0y3MzgyVr6Odh
zJ3DUMTDo+HbHdWkBATflt4dhmHr3BWeIikRd1INvuXVdkhjLy2cBV143xCjeGHET+pRbbiD5Dlz
wCuy3GFnMrOdBbIUXwhWmRE4NA3DLjQ00FZjjSqLzmLVM3XM0IFIHqbUDfL7wFfR3gfljZWkWKaW
EyKTzpiPquJfUHiF9QWzKmSysunsZ9yzknhPQyTWlSuC+60PFTHRKXvJTU7O9zpD/cDCvwCxbRfz
DvbdMjWEmKgy/z0BSo4M3YKqBtB+L0hA2dWgjj8oWgAqS8b/awi1pKX1eir2uTs2x6oe2m+8tPPN
8FuqTbII92nDD/EMU2wTljBbNy/JfoUdT7BiI+7H1hz0e2kLDRxWx3X2ZBBdqhBlzSwb6p4Gb80O
LxnhCDaaqHExYJ9UfQfXXnoDrpyqTG65M4bPuiLaa2bivmdsBtlgHp1w3zNGeqwmYX3rS9957vWI
WHVqBJi6OYTJl8Rx8RTmRvShR5mcDOnY77UjOoJJ6jjm66ikvpkUqD8bmwVpOJYMevJY17epsTgr
5lpwQFN4c6q5XR1Ca005spvW7rGf5+Z7GigHh5Epm2cvd8g3Jv/YsbdzMopiu+RubMmvbPDLTAmx
gG449Rs/D+F+sNue4mNl8RBuehacCXV72yCTnKQFTJi315kSz9qU3Ifn0kp8QrLsuoJ3oCLULAYr
N9xYCsxrpaCylkMVHuuyt79l8xjtC8uvXsj+6t9x3ucEFVT1rXGdx9jAVIUoaVO1nnfuiKnahDyH
GHCl+Z6oaHwLCwKoJFy7l2QejFerKl1vK/3JId1y0qehIxocJFf5IGZbPoYIr0B3hzo4OEm2rSeS
Waioo4sWznio234+9HyE74MKhwuCX3l1oqrZsZTbW7hTH2KVTKdOCmvTD31yKxzDufM7u//cjAHt
hsWPPsirmXGqDNZA2cwNJ44K7sLIeyPh8wNCi35kTROAIKmbnNNagErHxuz/gvKr1lGfxztHyBC3
loheGs/vv44Jb05mFN3XJAvDTaClfUfgSnmKQeg/spn6FTpLrjm46ltNOXvNciZ1mtH5T8eGrxuH
ozjgFZLPM/Pk0xya5hYI8/iSWnaCQDGN7tvATa4l+sft1NRtsc2tqrvowBmZZIFolWEePQ4MADZ2
FZcVaPmxuvb0pN/rSTiPEZqQ3TSDpmi9snkYmOUeWWl87U0d45DyBKEDcW73W10CW2ElIXZp383v
kczQyOjeXKeZTQ1ErsIrAdqCLT9TjEym/mvMSI4gMs58WBLtUQLMuk3MTd9iarH7ogvn7Ywo+K4n
gOmpo8pjlZ2B+J5BJZ3A3AHIb3nkh5bzXlVl/xbHTbEN5i5+n6SH3gMkFrPEgqE5o3dsc8PE2xVz
q2wgmwOS9LlTvBHUKBtsti5oE+YqSu4KPHQvGbE5J7cKkhej5LlqI5nTCQ7FhnUCZrfItq7KNwXp
jkQNGEOfPeupEncRiXO/nFHDewd/ISAQJd29mXPnrSb01B9emNJh9U3enM2whds4w9s5GDxojEyz
wbBWXZfCT8O3F25Kw6m+drqqffoubT2l7lQ9q0YQYG9EzFbUJ4tF+3Xx2sIpfx87cxHVhpwv5xZo
13Xm9HshMBySS/JJdQHL5zQY+cA0hd1If4WT0P4+yEIuoYEzY11VvoN3qBi2m+prKRnSuHlXXkIq
NTAnnB38g5J8k5Jkt4sH5dx8g9Pbkg1AG3do4Yy0w92cDt17n/fD2VqgNa3wgi1hgtkBhTJImwVu
wzbEWpVhXL02ClU74gDj5mapu05wriKuWncc8dgOyrL4INRK6nuIFpFLhi1KKheT+LTqx9B6Keg2
QAmlOv41mI63g74ybQm/0HIVsLkCuoVc5GtKD7kJwSkcWhXDF+KXJwNx+AT4iKh1ckbAQ3OZzCH6
JvzYelZJwQMUYzVj/NOWt6n0UAIYYVi8OHn9q/3EA9VqKt5nEBC/SmrQY+QaHENMvDdRXpcbdzAQ
v4EZSkMGW1aZwrWagEy5BEhxNa/HriNDYeEUUYy9sH4vT9Bhn8xgFPuwj41zmMA1IsGIdYefuRtD
QlztiXyPeu/Wxa3zENhBfjFDfEMr21mASTpIj25XFOcRJcyRhAceB6Bp7mnOmx7qbWQv1xTxuGVH
qAUCZa6qljfNmM+6n7y7OJyiDUOPZm/5gfk94vH5XlkIHNCulTl/P6vPMiJUc6CD2snM7m7JpK64
yqw9dzP7usBgB9xZQEV7w8Uma/jAQRhKPbjCfFhmQt9M8PogZqoR/0xqFMkDlR0qNpPz6i6CKcm0
q3Uj6G1I+dZkBABeQzdKwvMwdxtbR9kLGHRiIP2xkY+UBhmBmVEaPIgkZvI/qvbQOZFcJ6x3Nkg/
TKLIJ97LLPABNZBgsevQMRRcemVzdhpmiWunF2SjhYPYtU3Vfksm27wDjIQES0b4CVtncB/tuK/v
SE6DOEfAxTWyTPvOrAywfyhj1blnu3UgBSo5CaiMZ2B51Tl2Yg9lLsK6AldLuBEF7ym74e6B4Vrb
bbE+LAGwCrhGPRjTuJqdKtmGzvTDZ/Oygeplr+dQmB8Ge+LjwML/SXIyraQi2JjraGY/OXvpLkz6
cNe45vywmPX2kSAJcmUluXen0656nA0NM7avUbxHBnZFSUACy+ZMnSq3Sr6Am+UU1CV8N2FLLNUM
r/D3IL55oCcQLzKaHJbR5kDNhfLWbrnMuhIqGHkktHuwbBphfPE68mKTCYEsyTsh3yZ23m2iM/2o
AoEcb/KMY5fJ6mSUZrmejKJ+M7ErbIj5jTdtjotq9tsD7TqLsbx+GMyy2zUprDGL3e604o8uBF6Y
MZlW4w7vNSiQIkqqaT2Bcdg6dsQ7jouXpas3Bfs+rRuLi4ewAyvz2xfwWtYLLrQQFRn56CsmV3O4
HmSCmTEDUrRyEP0/p3ASzR22G436if19sTNgiJfnAXo0I9mqRGmXM/yACJaGxlc8j+3JM+FusWdm
OLCOomS4Ia1qYpb+Mn6K1AyNNPMRZK6QGrnjJqnj/lei8nk/96N8S8Usb572S2unisyot0mCznTn
gvRnElJHPiztTC55x0jAby2khBTVakwIQ+r51dfesZPvg2FOM3zB0XSOesFcnGZG/c+xMxevtR2M
eyMp6gfd20sClFu3j3BD0IwJFqTXamQQZw8OAoi0++ZacQV/hHxDoob8N6O0o101wS+IbWWfWk/k
L0RUd4jOkObuehnhmS+sjEFKd+RTmNnsVxrs+2K6d1EOPHXdoDeEZszPjC/dk1cLdbUnCIWbZCQe
IoQC1GLkt70PpgYYs8NCsNI3G1YHhtaGszHU2ByYIRNaikVdv8ae5IJghDrddbmjtn30GFeq7zdh
If3nFHnLJYR26qSySTcCUNxdILgJDohrK0RsM6AwLyIlYB1NGnGFhvRKZnxh4Net0OqsqnHK/E2s
JjhQnc2kdjOUXpFubLuENk4U7DVz/O7RnsT8lcH5+Ggg3JmgMCOkg7S479rK/mKjJn6wq84hYckY
zV1J6MSmBaX0AMRjoi8fPfnWVWmENEhm5w57yrUxRFozgrQi51x7mq2LRUy4SRougt4ppspad8oY
XidWjYz/Ka53kasTmE4xseI+EviVclIfTTcfxGNJqL2xDisRfgRWpPp17FjWUxgw6MWWYuZPScwq
nvwAGmhfzi7XaeuupR/RSOncdu+b0mpvdViaN0Ga+MNkuEUCfCauv81QB+/lnNT08sRc35mtAZ0m
LtqkOMRdbX2RkS/OaD9IcMzRaeCR6Zl/IjbN1SmZjOAHubPze+Xz8mwRHNF7Dma9gMVmWOxyIrua
jeyQfeVpw5NfZDE3AVNP/dCadvBjNPDdR4KXCJ1s9lUpWxxtq5vvyO9QJxb8EP/rvD1ztnMBtb75
0Tp9E238kpsPI7/xRRpx9ahlo04avdDFGbvhiHu6/9X2DlIEHtsa+9ZCpqg7rX/KJCAMOOs39BBZ
su4kXl5SA9QJZ1u+GVSZPTkgo06GgLY5p1P/USS1Xa1nyEb7KjOLQ+IoXWx0mNfvVmW20ZbM0vJG
i8T0e4meTwfbe/Sozn7MlVJPs2j4j4ZzqA2H+jXsFgkwSljWHbFqjVMHbXzb8xk+FWPb/eAGyr3V
kuL1bMyWHayLvBHxtmyjK8Lp9lZi/GV7wNlSrJzecYhv6rprbqvsXFn8JSsg4jmcpbpKXTBNMKe8
f5sZqy0X8iDuvJ6gpEDRlUAPHrMbQNmUXCA/ERVqnnJ+hLTDN0JxA7Azlo8st4ojXsbo1sJdXItU
uyAna1oNp2y2TWNFqzkag4d8mOSJvxYCOa+N7xpk25o/vkbBkG6tuIQQ5M/efU8q9XXS+UdtuZs8
7RFGRCVIx8Sf7iTC1Kd4tMd9UyqsHZH/NAFQ26YyW5Q7jC6PXUtu88oeAYAkKBCf7ZHfy5eKl2da
cG0Z7zUC63bcDbSvbGh6JhwGMsRjR9n+pqJSXgPThLDi2Lq5ORT0dAKZi1PFg+m8gqZRneLBtYGz
+2ELsEg3F7arP8omFemq6lr3IQqFuhtl6TxqxhlvBTG35I0C4+tod1nfRD1P02iGB05VnAtx4a1D
k5kCOjjxqyIriTgTEAI45MuWqCrG7qikcCVPOalgIjz35LJ/tUOuLCKjKFkiJpypJUbIT2xbMKxY
1Qv71O6Y8/kigyaVVUeNtzEVkdPeZHrl3rRdh9s01Cytui5/k3aAeSeY+20mJ+/XgPT2jBACmT7X
/TdTRWaDMinzjDWgK39xTFPIqoS9lT33dDDCisZzK1pGOXkNsYRtDuPeyn2vXKdwkFx3xhEzLU8k
M5IYziqYhE67HHK+qiuNejx6cgt2PtB1x+dYaeejHCf9PaZsfQZ+2hOKjZ+H8z8o+ov0E68E2KX1
W52yv1xxKkDG4syjw8vp8dDIcRgPvafYw6SdzUWTdtHdaJjm98wmLQKuDx59li9cXFPhyyN51yY5
RDb+eO5gEuEqUgcnF/XtJinC8ti0buVAQhEEtSVBNn2tvVSwt4n8nRAVd35RR902kGYZrMtAGMGm
U/F818dAKShR8TMrX7YnUtVzG+3UpH4A+SQNW5ps/NDLltxWIq4AuVj+RCJPHkfNikEbWqUk4hYj
4kAuzG/Z2/XF15ofA60/PBDYXvrrHHT3l2xo2KOIIoXsrHS56gLDODJkz1G0N+3yP4y8dKhKY/GF
na2dgVUUuVrnhet+IJIr7is2qNjNAU3MGdflKsAe1B47M7fSjRKzfmXeTI4B8VvPIGPgkHsdkWuh
r7u1w35wO8ZmutFxZmJiHsRH6qA2BgkArCtIwcw6aHyCnYuKYO0zHD7PuWmdUBDr+8lk421by5A8
j0osNo3YEuVp8WYNBF8k46NjMBmN2pHuun3tKcJPU1BkR8xeBog7q92MUz38tCo3uespJ+4J9uD8
mkmBUcosLuRMCkSC/De4aXimQBmbr6ZRx6SmRekdPi/S2zsTASVitzZe2273GvXV/NgMQ3EpIR6x
Rsfa64ggP2aWMn9k1QDlsPKaS95jvCUFJGnWVTzGG9je8w8wbSSyg84/NnMJaLCHsDuWfej+4eH+
b5P9/H9s+8SNCb3rb/VB7ynpCh9/Vgdh/Pzn3/0/xk+4Ax6CM2zc0kT38yeFkAuDQSCr/ldYmW39
w5H4ofHt475ieM0/BO1yF/2v/wnHbDFKSxJUbfMP9Nl/wfYp1WKt/r/GeRRCBDVYyzpUYkD1HXPR
8fwJkBAFJCG4tmRCkLgkLNAIj3h8XBS7fqDc9xYZ/KMFo2AFDt/koJsLvTbTSYodeoiONY8aLxDL
4nU6cE6hzKg53b70ZDAUDObWrLfdTSTr7IiUcfiO7YnaPolxLyRdyPXDCJ+xImsg7skp9xYBUGze
gsyyd0VXzw/CRnGc1Q6r9KLnX4HdiE5G9nprpuPBKKrmZ9gMQHwZXcGQyVliZr7l3ZtdH19CT1jb
iT6ewr/H1IdSdet0ebxtu8Q7AzLy10SBohqy0O1Fie1/JCz6yNeqJ3NntYGzL6fefFJzHD+kFUIe
vhm1ydGQq5WDePVk4DDfmHTJOzGrQqztjPaTG7N5z6AyQLANibTLvRq9UzhM6biOnEGsLLf3Hqn+
wo2sq/IKj776buZZfe+k5sWZKebhrc0lihTwr4d5yi7DoM74Cx4jAzeN6/RXVaTE0FXNhlurgz2P
9gXw0RFWjiZGEbJmBvIxRzHvaYAkTDPkc+cqqUnPGwJzYznxI6iRc5Mu+Z4M9zdBwQpg5ZX4VqJ8
8uGhMfeil8EI+m7YxnQ3NU3wRrC4e0xmr7qiyCSEFLaYBPQF1KtJpvagpWGy32aoszY7G+G6R3W5
wvWcHmWu1WFA7n/Iwn74MtguQ4EK+hNsxZlW38aBYSqa+lLUxo/W7oJ1n7oQrXjS2lVfjOrrSOd6
JkVgXOVhxCSDRoNEJpKIP8jMZcnJU3lgdwbWt3SjYm+WbvE2gFYgAZTYzMwyk+9NVX5D0qK++f6s
9iov0lueOsOVoQ3zynhE2s8g7VLEtbokGRDq2mILx/V2CUodsonEZNDUtnHwzTHds5cSj4qWPmZ+
ziKXPpEn2qXrX1lBf+8VnP2ZBse27Dz0muxii6S6ppxWEF/VS6dEhLzNH6MjcqTpScehPuZja10F
GC8crm41vFNOjNDMSUaw5zbZA4Dq3gg6R/sB6fPANtZ+bk2PAaQ3luMDAN7mLZNB3azTZGYCM2jD
re+JWCU0KhhzY4mAVy1z3tTYpvbIPCSgcz4Y+Ij3pCrxYwqcgddByvzFgWGCOsjgq6hZGEfblsrT
WRWIzc8z7cfaBrl6UokItkYMXZvjwmI2R6raPQG/TJhnJ7uODMcuA8ncV20Nnl4J5U5PEKetk5N2
IO4copAQi4vwgRCDCH+0lYjdwFphG2tFWQjBxjjnATEiSzpsafFDmfCxnynuAub+V5R2/bYLdIFz
jtGBRZjJQcGnrfedMVa04fQGiLiqS5QjoB+qTgcr5gn2znOJQqB2z+KLSLD6oH6RFytq9Rk/ZkQJ
K7oLCuPxLsqz/A1kGibwLigHey2mL1XgUBe5lR08W00uIILN7O3H2l+nVBfUmpXexKTbb2LcgHsV
W7xb05incJ+y8dHrLf04ue6Ia4J157pClrPhSN0iRT4QENYcFPTmC3tTJPepO5xo1eurJf38GrvK
fanZM75AcS1/jnYVkiOqS3EIZs94UkgUHgY6pRckNgYxn9WYnDuwXpB3VYIPx+eRLmz7V5Gi3ymt
sXpxS9PaGOgIX2LEGjwULFsIr8jmLXlMcpc4vrUXSRoh14hGwGBhy8atoVg0GDY+OYr5J4HSmDqB
Mk1HFGn2JcyJe51yifbC74gqYHqwCQGyHpOm918Lo1G7uhX9rSaW5MofgyOjD/Uaj1a+xyUc7Tom
m/dCtv39IHGfT6obdo4l8jcW/f6bjxLziuMl3gttxGikU8HTLrvtkisl1yghxbFJB0Z9dZ6jQcrS
6JROWX+qBqdeMK3NkZi+/FoBmVwnafxDNNojrLs9YXFa9P3dDt/YW2VDoVxPvbqFUJXDnAwwL1Lh
M6l9w8+iNUcMl7bedw3ue7a6AievnGagunhdIXc1zjjujMlmbtHh0btUyujW80JHYHAO7c2DZBkw
ZTi4CZujnGLdsV+bqTmxQDHurHI45KFXrBR2V200zYGjessotFjnSV4fsOuwT22sZm3hz8cb2hBV
trJM185OqU2byqSnA7qQ9LR/Iur1LiU/5xj1DAzX+AGgAOBSWUVN82Yuk+ahZwW39kZbV8TSuuNT
szgRekfMW1GPSEVxitwArLn5tg9L/4DAcIKUDfcKz4ePe/+mkLutMjRCV7PlPqt6Oz0Evqi+196U
n1g54ZbimX9mXMRgQ1fOXcRwa4M1pdpYbTGd6fT3nT3PB4k6Zl+w7H61dPCBNJD/2+A90gzix5yo
SSRqh65k0Mc4v3Zx7PsWJAbtGEw03RSkdVKaT840tEySUV09RKqYuhWcnZ7eKMKCKgtt7XIaFRjK
pvFLB4084SFuXng/6ovyqv5gM9LnmunLjxwa5sETlTp1eLPeIW8yUYyKa5BayzB1IhhqyIMnvoCc
z1QsXvy08d5ZYzJFbuvongVygv5nYhvdagsx4VxeM7swLy0SXiyZ5rAdorAixc4Yhmo3CiB8Qna4
tthb+79yw8Zrahj+bqQlI6jbbhaZkzfGW1J1iPyTeIWPhVMYN0XWYLxF3zQcCr0sSmmJJaFZBKfc
qC/i4i7DSINrOc+iaMUxsI6OrP9nMkcJhx8faPyaExCD7BG8X/wz58SZVpEjR9hkNS5fW8Zf7DxP
tgnlLiJXfOS40rKdFjgW+LOyD3kQxTs7occzytjc2r4Zr2ssoQfs3IScqLG6teP4YAAEKfCL8APb
Y1PqctNrtB+eqdNVR2mxBjMarpt21B9jrPWvsRIfbew2byob3mUF937lksvzwAZPMuTvu8Os4pjd
nj1elN2gXq3M4Tw7otmUAQsZ1UZkrqCSY/TR2ye79p7FPObMFMYUEoWxpE4X7SZqWSFiQw43buYW
uwhV8BkP4vjQ4QTZB+VoPCHE6/aja0nkHIUkInYKPsCc2zve0RDP8mzzNfT5c4x16C4GdXI1QUkT
kzh0OyPJLeD5mXwKVdhcYEqg00zEnGxcpyMMhQyB8DQZajH7deGx0ar+ThQXbl+jCq5ERvQouUq1
bjiioAUmLhGQMWrwLLC3YW2w7Ec7H69HD5Qwk1CNKQYPOhjTwSiJ5RzVlnlmtEs6MCxUV6MByqF0
zgpVJWJrDdVKS+sp6PwF6chOrjdEcHAnJ92n02i9dIzMIQOT8pTKYTzGWVBe1ZhN1qqXTBkJKzbi
VzduukM9ptXNtG2wqyIOH5wY9ZqnZueFiw61tSSPeVNgit46o5eeYisHXhh02HzDqvjFfNy7k62b
fRnSIifCFqxMDTzqMKeOC7dycnYLIeJYDJVFQELgc9WgriL/JrU3rMj1pTW7R9dsd9Sp5gVfUbL1
suarEZSbeiQUeJiMb8WANBRLlfvFJtxmJb0lz62kaamkagnqMDXLLEYuZE0S462dmBkpTBFoBzkW
Kh4M6B15ByuVaAX5TC6xu8GVEPAbaLVqSLs8/amzvP7Rj/0ZMSmcf3Ny/NanLbi1P/VphK+juzHj
6KAJKVgZtpsiEvCZOvuQawRhGEySRuNL7Qv97LFveZ28oXoQ0RyevUnU34CTJltiSb2evFwR7qOe
1T9s0nlnugaDOJUyzCIw71ow6EHoTdALMSp8A+badyglDEKPXx3J7omiphjWgeiKPVMKZ+swE/K8
2PiBPh1TuKHLByPJ2kPeyJe+bq2j0VXuNqh961X0vTp3lsvYqfbLDTQWXtrURcCepSl5z3bDVLb2
5mMTKfVGpR7uXdRbLB/H93Jwr33XPzlUKKspZYuCG2fauHM0oTYpLkGczpd4SIkxST2iLE2rARGd
smuTu0w3rKgWzMKH6GoWV4YTkkEx5RSFWzQS5ddZ5JnYVLHH7q6J5HDBJz0do5pqd0X+qnwsy3Z4
aAmygSrKcXA3Ran46fZm/FGhNNxUjqG2YInFrWRq76+ARqDEkLa5LadBnp2uNw4uHv5NSy49m1Fw
t/MWOZ/+ObRMviJQ0UXvouZpcvZ1us52Q0jvJBcjgU1WzF0wuh5x7HnTEWflAlLFsYjrnKzPhzkt
uKGjAu0I/esVxkzAJhVb5Y0X3T9qX49HwobYS5hU2Bb75F/ENFMK5uOon6OcpR1YGQ/+hlcXPfYF
iCMX+AjJw/BZcmef5bdYKnFuYYrypAIewgcpdia9PMkKYxQ92Eslz0SRs8lb6nvrs9I3E7zj/VL/
j4bXXfylJ8D675MuQJ/QZ6h5V01oeA9tMqLJRz3wnC8NRvPZa0gqMw6jpQWxP7uRfmlM8qVFQV5P
txIsjcvYwKTI5Qh8IAL/vLX7GuxpxC7Q/2x5vM/2x1JNUR1IytWYhySjQVyw24kNOV94yoPrp3h+
QqCZ71WBpwCGLqyQYuiujm6S/UQgx8whRr/FLv2pahyJDLi6GSKOD+yByosN+PuW95azLmMqZWNC
Rb8qKYUxUhc1O98lhYrALrmCO1KtIzyjLOv5HtZRaFqLcd9d97hirqxe1UvNd8CaemkZ06V5ZDxN
H5kmTXoXpR2TAppMp2BTPH52nvKzC/WXhrSy7HRfL00qiqpi1xNbeKnpYJFOkj2xNLX50t7yj1wa
XVpextTyJVvaYLk0xN7SGrtG6H0rnPqbbpP0u1wa6H5ppeelqS6W9tr77LTnpemOlvbbXxrx6bMn
z5b2nDRNgjOXlr1bmne9tPHdZ0ffLM19sbT589LwJxzSeYBvs0PNii/sczKQLkMC9Obq4C6DA9H1
/t8AFq0Fwfnvgy9qQ4xxQil3gfz96UD1mzacHD15ewb8T/Or/Vq/G6/1bbxvHxEYFQ8kQvz1Gf4b
7f5z1GaZjg9gzfF589VvP3HRseag9oP9IL3ge1bCiV1jlp3u0RrNYk1huFDa606urTCNvlvuDObP
CcjDtlxtL07jYFckI6s7FMdAQOYA2/dalCj897MbGF9bnM3P0OQ4uYFVjwgWnEW32qVTc9B1WV/s
vElPuID0kYuZ143pwEoq79bDUdsPVFP0znmyyxyr3k0tAAsP+vabHBO0wWOQHYfa9fbdlBkgp8fm
AqEqRc+HiFMscTrngfruKWID/I78IYGws+DDEx03Lw5Ka17HXGRf/+ZDXXyE//I1OsL0HUsukQ+O
lN5v2LrW9216vSVfvvOcU5HGx04E3tadDH8rBO2W8G33ajqsxVl+4K93497dD0JZ31ovioo1y77w
Yxr68ZRnznQ2PKu9egxlX6nvCMZCV9Czjt72pj9Da7DHW5N3cb/KjSrl1Uxs2BRqSg9mx+xgFRAy
rTYyNBT6hrAotyQzOifbFwMFMlmk783cI6HKO8kael7uIzZ8XE3J5zU1f15Zzuf1FS03mb/caZ8f
2H/bSP//RSevZID9p8fm3wCNX3+23f9Y/YTRmP15Um//8ff+mNL75j+gkHgm/kJeUObujNz/wDN6
gBZ5SKTn+pZt8p+8t/8MFVnIjSw2fVO5PofIQgr955ze+ofrYAzmSlAeLljnv+TjXaq7Pz/ljPt5
SCSPKtes4jH/18NKOTCCMsx0+ybq013NrboaQhlvYAV6yMun458+nv9Qbv7b4cjPcyyLKlTxiQCf
/A0RnQgd0Lv5KJmJMNqHIk1+og6uHweLYYOeUKjmAfNFTmvfbLEgDJglGPr1L4gXszWbPxsdAuGk
m7/5d/2+rVj+XcIjVYWAFeG76jdX8aJH48AEd8B44K2jit+ACPdWII24I5wTY11yMZAHw+LP9Caa
7lw4kX9Tiy/H9G/fBVsZ5IWmkDiqf3c2IyKTgU56b1+hpd/jywhOHgqD57/+Vf/DN+7wqyL7sMky
YQf02zfOh8xqNvH2dkmQQzp+9XAiH8aYPrEeSfr465/2H34nlz2QzTfuCjjrvz1fjWgsUyeev/cL
JXfa0+D5e/LC/vqn/O4J59sj0dCDWYppAMH0b0+VYGbCMCmgvIhAjdV0lasi629ESv/46x/0Hz48
LnZJ8AO/D8b8336Qa8x8osvjG8ToNXMj+TXGMLVSglXtJP2be/0//jD5GZ/uuKZr/vbDdO+UUOQc
tS9tB9Ohx5QhGlg25zP2ap3Iw1//bmL5Ln57/sAMUAk6nAj/m7oz2Y1cybbsryRyziz2DfCyBu50
eiO5pFAvTQiFGvak0Yz919fyyMx6IcVFRA0KBdQgcXERN8Pd2ZjZOWfvtVmnvtyrjB73Ir3E27aa
XazkQBjv6MX6dWmkLlyktAgF8uYoRRewW5q8iQy9ir+jrSUJu8b9gVhbbq26GkILHrpBLgX+f9fy
S9DEqGNoc1Ui9NMap3Kf10yrqZK6lRRLOqyaEc6l6BY8DU7uDkDM3G+yquS33/9G4y/e8wB0uBmY
SKx/fR5HYkBHZ868bVKn5j53NH8/Dw6pXYNzp8012XKx2tcy+fCsVDA3L8xbSHf+Hy71Xz2vASs3
PW6P1ulpCvvzEZGZll0DtQu2JfOYPV2Ai1p3A9qsyIF//4N//aQAADbqMt/ySa34ek9pGKsR8wBh
7XFWraceqJ5sqmeQq+bm958EqPHXBxYfgW7oJpYGAkh//PlPJ9+2Mix65Mrb2ugoNnSHshNYZrpC
0TRduxoPgtl2t2iPqk3ed5gTOl8nx9KFI0CYPSxSMu/LLREwJw9H77g3wPWcF2do/R1Gga5cW6T9
3QSqs89RbDZnBSk921oS9rwSRp9PUekHDgYpMr31yuv3sIL8naDRiNYeu5bWqjaUsjU3liMhqLS9
XhqE6DZOvB07kzjcivq7T3PnsnaMCeNxqly6sJOJfs7PLmO9yl8wAVZ7G0/iRi+DZTcHEO+bofX2
RdsxarAW+3I0+eGLwgGsxZjVnIA2sA/C62jkM9VgZ23KWFSI8DPw+ZUBOWfqxS09RUEfoxYvfqL7
Kwi1RO2lc0tJ05yQmvUw0y2vSdXTu/xG00V76euMgDHKgWEo5ITJZxqt9lFMQ3zEzxzfp8GSbQf6
Hq9AOVHSxLr1VGj5Q12aAc4+rXHP8k5eAgO0LrwqDVFe7yxbq3b1YBCuKofEvIbEQUvcSl3/TLct
dbkMqD2TrnW3qpXFlp8j1v6AdikuWwTSCxHQh6HJ6DKzSs3nAXpzvPEFFgv8mzFNgB75yrZsx+Gd
IxPXBN3mOcdlwQS5NzAkxzGXzDJ7jFm2eqCDP9w7tp8jOnWEwioh9eCeYxudd7wVHQ7syt73Pe7J
kcP6WrqOfd4ObrVpWj1mPAVHjDHjwtaPuh9R/Sov7aYPi8HPdmYSyKj2ud+mGrh8g6acF7LTR5JR
ARet9MHINrZwnKdUmPMZ9Y/9BC+A8TWVf3o5gFckogNmOwjUXlc4UGNFo1naM610EiKCewwCXXlP
7hNtRFoar60D12flxQ5PfICz/IaKqMDSn45ig2AgPlRKrmknex9LgoMFvmaGFJyZd5xvmRWQppET
7XRuFlV7WNzObSi8x5lXKGEwgyVrazJkMVesB9V313KGYJU0GJcDG5aXDJghWUnR75jUT0d30ZC7
5nYSbBtMIRLxRVWFfh1fFP2UEHfAqHCF1JLvm44Y/U6DHzej/HZTulBatpyboyTZ3GgPuHolOYp1
dWPVI6K+bI4mrNW3FFjTBgNYFym+227UmiQK2i7Y+Y5ecX8nImjdieejxIZDa7nsXcalWGUGy/fO
rLl9xzfabrIeGYIkI/U5iAOm+0NitXvNAAXiajkjOnMg4slYMHFo0C5CUje4+vht0YTWNEGmGcNL
LRGf2k4C2SGrXnSZ5Bd5bYygbiWjIIsqlx7ICMg61zFVc4tvYmQyuzzTys1IyNqW7iMW6DyVrwM2
o29moBAFjFoF16n3Ny0srMjXAaiBx4qmgQPitBj2WWzSHJ08Ohayz8HFiUPiZD6WJ7/tiCEaKRRU
QlRWHt9hE0ZSLY3kUoMJdsbcJ3hBRm7dmYvTbbDcWQ4NYNmfTJ/xzkRJs0spGDeTgwrd8bXkkBWw
ql3B4RhBeHqWiOHR9yXK/0ZHje/gQxr7vifbfamPXQk7Yy3scQkb+I0Ak2XOtFFDOmz39HyBugUr
yJoXkMnoZObecgPzWB3JTM6+Txkrro6JFvgUY+iWKf6VGpoRsh4IaIEqlITqJbhzWxv8jpy1sJ49
AAFB/kjHDoSdqqZTfit5w8hWy+oaiQWp2mnl7kfGe6u4yMNkAfFT9r4WNZY7vhN82CE4FOiJedc0
4xEvmXW0S3UcY9JJfZEn62nU57Vpz8Y5EbZ2QvM9LSNZesjzymaMGgJvwLd0FBSwQlbIUwcSpSHi
RtJGulB2KBrzmrGdq1bV6Dm3HJKWbd/ScMUkcD+6OKMNw3U2I3KBo11330TGsCVHV+8RzscM1pTb
OK5fjAaDOqSVyZJw/xKGG8iMJtQBDIKyxd5M5ohssB+ti3bs4+taj6sNDVVc3r59tBum+8Epe32y
3Ckax759joPYX3uz0awZBF/hg/GjHKbauHIx6D7WHg4Wo0zmCJcike++jn1szdwOrGkz1+KOc9n0
zawza1cimN1KenNrg8XmAom9WBmtFtyk/N4nELEDuV9TKbkabuVOLOctdAlEI40XQomIddofTMA3
bsMVWSkaelfMsxhZJCxeD0Mq1XeT2Y6+br1A9vsES4MfuTXD5U4tHzOclFWSncyRXv+CC6zZ89eh
fvAnhR4AgDnIqxbobnnN2h/SZDQueAnb7ZJDdjCtoHgyddjHUE2Q2ve0qo35hH2gLRhlGcwBg/YX
JDR5Jpd4umQidD+YGW66QLuzyhE2FZv8lYtLMlKYGQvcWAYDpNgdeXILVa4Xz25vTBdhVqbaXSMI
JQE1q+86hV1qmhWDrLbv9z2J3qzyfQ1DxuGhGFoTlVtTAtcGYbiJJVNyBovl+dxV5lUvyiysmew+
Nb6tNq3NyAKWx1ktWS0mFTQfbEjIvhGt78hlGe5A/sFzYso2vstyIU+40esqzBmcr5Yl0DkzOnOk
aX5DKndT7cdMfTSm2RymMTZukJ6RDanPV5kcisO80PttAgtRrGFowz2JZsmHsxRyk3JvLpmg63vP
aeNIqwN5vZCUC0g3fpOEuF0YtZZEZQZXwPVzADRF3he7CaXSdszhhfTEj2O81r+1i+2TeJeajMWG
KVpix0aobyf1IUdnsvYnE8mbhfYD8MISNVNWnNkzNMxVx6R8XOP8GnFxA7gyJ7M8Ixyv6FDocUUC
Ny+3cR0Yexsp/Uqk7llh94+znJrj1EwXE43ONzjE/XkrLIEQpJzW1IYXvdWoTRAr9WIppCKV3g77
ypm3RaPdg8KCqtMvEC7AYtSHJmbqnAoorEnvVneTmroLuEEozdkEd5MgP3Wu5J0tUqDtqW+GbTDI
t7YeF3ZuDgWIn5tsjUB2DIXJ2lw0bnLhiTr5ZgyAR/EZuXCGTa1YQSpvQhoZwxWi9gcxw69vtP48
NYcSIva4AYMN7KsrxKbsp5DRtQ8JuFlonnaAITBSKVwXRxN9CZ+ZZd842DuMRvM4nBeQVUzdfRMI
TX2vci2LhFdvhkJ/rd1s149Gt8dNhvMG3wzePw+8B0ZO9j5Gs13mwGnRapybgHgax4tml4bwSgjN
PwQNEgPTynAMlrdIvqqwhaAaUkIRbZyILUf5YuMn8E7cNCfnHHfZ1uLzV7JyXrvWiR89GtMrgTZC
H9EhLTnhZqK9mzs0FORCHzqtv/dzc7hKSQbl0j4FncYenWqvftbcm1ZxZJx7A3obEFFlXOKpe0+K
dzn6wxYUQb/Ss+S2c/t0VbWCwap3njnGUTOXfl16vTovpXYueYIgSgTI6kYLw8Pk5VEClIddCjyE
GLaW21YPi/VGK66MfOQ2a2PMq3VJgCKziVnjBqrslom4YhWr7+Ti37ttzv/al0LEz1PjnKdG+WSb
TnemMC2v+1JiwqrSu9QMGDNUt6gnn5hLoEYC+O+o+sJyGTXqJhwlNAdMgHG6rchMGFcmOszQduhf
pK0JZmxso9Etr3Peqj3mhO+0HfbuOIea3zorQBSY0gaGd3ka71zDHC5JEHEuZ+GpdzI/Appmzh6j
a3UIMseNBnia22qMvxeWR2FOuX/btXA0TkU+ryzo/td0MURUKaIk4sqJZKCXh7kgfMiMiQ7kKOW2
G9tC95CWfg/Nqc5D38D7F9T10bTxH6h64qwi4oDifoQJk1AiqJFwzN7ROMPwg3M0XywFaGp9aODg
7bjf1K3NatS8G2Q/l7Y1ZmvXlM9DtUSq45xfu5w+qwJjuhOz5ouEA70VXCOJOFp5/NDN9UWFVZdw
V+47QHsdm1Ep92m6CDb9+k7v7GktmbdCvROPORnuITwgASv+u6fZD26pI6CS7NmzUNw0WdwL0+rB
Uw/V/UQzlGhApyQlMjF2NpzRDWzAeSValb9kQ08EgJ0yXaIhcvDqk9/Ea0kxr4CHQ6x4rjEPbBkv
8Et1gB1VPlw6Rov6pbKgcRCW+uHNqXWZNROnO9cqoxkfZ6ThTYAXrR9rapYop/45jHXM4QjEn2PK
K9lRYDjCbx9TYLCoQ+J+S4vlpkVDBcAOCNaQXACa6y5VqwE8YO3Y2EHsHhtGOBz6J+rmzJDtxWIC
6ZPER0W6S3Hs1/LBQuC5YV6oR2YGKzhBtrH2Rne6NTWgq14NS3GUuAUTvEyvEz/q4EmvDN2JW2oa
vdiZiIm37Lf6hWhTcFhI9w4oy+oZvQTTI/Oozy1qK+x2xwKa6r0yGvfen5z3eDJMGEv1sE1LS38A
SNftahTUN0IM8vvIs33VSd89ArQi54Msmq3o0mE7VQDMR8yzwMJVtbFp44TgPtDLtaTwAmIAEMi5
T3l3+glx2CedFenAv4kjoMcHh19BoOlT0e9VRfAXfJmnueWoCG2ieI2TtN5krTGvU8lRqDuZkwOs
3vSqc85KuQ57qK0dNBKuexCym5969G0UTO6m5PWNkEH1+9jOrc2YY6uVVTIxR3dyTosFqd1eOoSQ
0r6lNKLWQ8UdJ3kz2JmDY0QTvRQGOGNPILPKjkyL5T7Xy00djFMU8KJTSwFnACU1gGwhopQQ4OoY
kFrMMbZMUSsYI27FON2LZZC43k13W5Wdc8bnzJueTAKGe+awg4npH2KfbF/VNzijMk7zFGA3ozKt
56IGweJO3dsUWOOjUST4wpby2E5p/FBmyxvluLwOxhZdRCI1DJxaryKjkMOZpqs703Qe+Fh1qCUZ
cy7aY5VyHFb2PK9lTMvNhJCkuFEyvUAxR2+oloSQVL1OL6jSDLqOmbtGmMfj0zQictImTpA7mfZD
n+Au4xEUD0PONh3juFr5dQ9KEqpbt55zt/5Gr6K+E9oYkHqcihfEptZ1Rs7QFbI0a5POlIYY0zN5
VZjBd2bEwTX9uFMMmoVxyRYNAK8FK2XgYZsTvUdKdy3PwTgUGzeYMLpPaEVEG7ubFt3ZFgVcvRYK
baXlGdlhTvHAgmVvkCgZoCzzenkela3vkiWZH9MGmWaZ55IOh/sd31PO4SCY1wwIkg1mK3FKF29Q
mczZOWaifO0HVr7n8ftGDJggELdO2t2UWOl5MtTAPpsmOwM5imZCK+ionpUw1vES9NbwbSZh4W3I
x9Y8aEhItsMIGm5tuYv3aNQ47hFLeUi6ZJ9mH/CHpLe2xJwjbE66mUwQpFXrUkdMi1ps6myUUZLA
B9fpN5AAqPSWbrnVzQQT6VCyO86FHTI1ucFKwZoZyOK1iuEJQ+WZQn+aEkLLXbUulHDu4oJIvY4c
iMqQh9LDbdgU7B28q+VyrGUFHwxBNb/CWxROdqxqK2xZzT0fJO+qsm4ei9PaaTTVRVN3RZTXwjt3
0sCIgKIRpJD7Xf0kGmEdOqcyN4uNFDu0mzbeGU483I3tvNwU8dDeZoVlH3Xo76T5kuat1xpwcS2n
y65KUe4MEUySj856yPvx4q66GYOHV+nsvwA4UWYuqFjXiTdqG5LgW3tlp1q+Ljv4tK2X0EufWwQ6
BehxCBF9rwmM0arEXjaKF/AyBHJzT4pbj/Xnoq/8/p2sLq1axRST255L7Z+zf6dFlJnyOnYUq1dx
zcC62gZDSlIE/cuVCPTkODr9lZ1gQKWTM6xVPLgrcEQXNNxhuIL0V0N8krkadgTxAp9eIVAlw4E+
RR6te1QviLCAHU7FKbaDJJujg/N4VbTq3muzPMXuQcq4qoT74lJK7YLBN9e4N7rNSDQAs7Kuv6ak
jHn/K9wpAEY3Uyv4Vl36iLiA042DvUYzCn1L6+NtUQD36mlYVs0y3vdziryvwyNbI/wL/Fi/Uibj
cStAIlL3GkHQGVSHuqvLNRKp9mD52TUavn4DTOEQ27BQ1zwtpNXQFd7Q1emPnsrN71ND/mOItrky
OIPPHrpqfXBohYruzPZkv/U8B+VdInX/DatisIXHKR5of4hvta+662T0u0dyUPNLrjx1Ma27yBik
d8lZbjxhSv2o4u0L9cF871JST4LFmC6dJVniFSS7+Ds9WE749MvFWW0h5VvZrHn6alCe50Vw37Ri
MyYtEqGiCbrug9htAw+SES86iS8TY8fKqTEXKksEd+ylPUh8q6Sb5cw9ZXDRxHLZd8EsYHJWOiNV
vwPd1njVsSNm/g5FZbwxUr89V4k7hrF+mrjEmfY8k+g1YVrflATUs/KP6toZhb2toKhc0hbx+KsV
HPhE0dFzPG+iic5ZNsBp2JrlJZEgmyo1SWZnZrmuZR1iNB0u47IMO4UtYLTyDRVQvBZSfPSLvKu7
KbgjxKBm201g2eLSVlXoGQvR3NPDosglsrvCjOAdhZoiXM4XZJc3c5YdkoaeEAOdfVJm2r0a0eYH
Gb1L2u6A2NIlO4h4Ak+X2mCBqbraxMl3PpaESA22RuMlldaeEywZTZmsXISJHbsiQlcfC5jTEB+1
ln6Xr2w1Eo+G56UnTVzXtYtGWXMT6RrilhUdjfQGvIRzxqGv2Zu5iwYjS8WNOxBOtvI61yDBolJM
qWl4uDGxQWZ3pSwwlCxgFlrORLSI7ROKSEm10oRWbMsDSDId/rQ+I6T38Y20CW1NffTcR37XEuEc
R7Tc9g6CEZS+YGd9UeL0TjAFkdRlvaHA5NALZioIQRVAtaazKO78+bRYYtinhVxYsfVhuwWG8BGo
4DZnhsD2Rr/kAT+z94g7xjtnItUcoXV61ww+vb1rWtad7gDsDV1HS5GvafaIkKpUwRNJoc0JyFXV
e3geHbHHtp7RTnNp2vUOAUloTsAghZphG++4qK07mCA6AYK5+Ci8GvZPF6jqEn4ukBIJvnZZtYFd
vGEr0ffxBARDZzJyk5F4lhBWrin2ncZ9nj3buwQDU34vSS2nY5okl/3U2LhqLdgYqk+ql9wJloOo
7BMrYwxoQ5QaBROkCEmoA0y2mwAumwDHahsvClP0bpTdUIELS92rQkfIik5RJVfaYp8MX1pkEh5x
r6ug+2hqs7lniBQ/VEnVPGm8+xtNceVzLicmNE6Su7nOlod4btJHgmxOAQ4EoTyZUnNf6ALbz6Wa
FT6hBQnBiXBiK47wi4Ubt+YROQjNttlSmnxTgav5MBcfpR99m3Wt24jLIapU6xmHzb3mVOnemvT5
KMcxeMpxH691T5EENPvZwaXNTCwAwlgkjzJ+WWiy8AI0Zfvk1118WDhrc6heiL0qOABiYK9UGiWD
c8vmVb8Pdd9cQdLStwwbNFwNjoT5lnEIMgrtOaPdAzYHGQW9Gx0SBijsLWrS/AIdB7Z0ln00ko2o
rhiXYXOYEvpdTlZyKKnNStwg/CJZAseMz8VxaELapsqPZjeWe3uc/f2Jkn3I7Ea8kV7FYLCBJNyu
0T1BdTL9rLzF0qbrIUr55siC4YuQaD/3yiRBrtlSJk/mejBbqmh4u3m1qYmI4ZyNHfYVp9D4jYb1
eKXrcXvjgMN4d9q+PNZEEkEajt2PwHb8Y0zO4Xlie5q2No3B+nAACL0DSBhtWMBNj7o79h9zKZW3
Ki1PuqGfnYAH82jbMYZ8y93xqAZhyoD0Vjm4P/FhOZDN7Vjp1+RI2/eJV1VvdSLvjYCuaK04kQwz
XEdIfYmBuNZpi6ulH+eXCkI3inx6pz3nKUC7Hq33Zac62npOMKgqogzgIveYj4qV5opFP+QphlAy
4A2decMUZxfz1DngvZi6skYktR9ZSdqdAf+R+MLoV0Tj0vLoVPVQlUiH2WyI5WEQLWBTHofWhufM
I2Fe6L1Hw87rSA5zXC956YExE5ss1SPQfJGHFZER+6GSzXXKjfIj21f2nWJAOG/0qvXeOBrZwyrI
qvk1h85Bc6UUXr4TXmVxkIK/MEc8zbnaQh89dQYxRrprL6jdZ7BfLtA0jvxnSWyN5BOddrbAHbfJ
otG114A2HhJv/i4lcV9MjsdpRWnNe8IZiV/AMMEwXVBYbLn0sSfmOLDVy6V8k8kY07LsHOKBZqQi
hnHukEc3sBfY0t1aZDWkIaTFyVxhEGHgYfEHt0Y3DP1KzLZRb0RyCrXsDa/BkZPioIuUkb/GysaT
bGeOuS6TDg+cB29kU5Vx+yoR9LHr2gTQDoxu5jPckuVaHzv3cWmZOjDEoHirZFwVO1kW1ltedvrZ
LO2aAneZje08VPUWWaK7LnOw6i6R4Qzz/Ho/Jj2DMo9h2pUb0M5kBtmzm6hYvS65MDjimZp8gFVZ
AV3mNEHA34c1GMGZo9nBIUdtdTUuFqE8/Gx1grvJ4zz3Wsislhp/LiLbhXGtMe3bUtsQEE3VLD5a
f7DSVVDm2VXqO5clc9+tmbQJ0u8K47aptGmHNSUdIub2aVQr+wVX4HytwZ9+1VxaOwZ2JUCkzVvv
WPmd5aUlweRjE9D8tdtHOMUwEJLGuChJ4b5ONPNPQoxfJS+BbqOCYuM2Ye7aJ/nET4qFtNA98sda
/1TTMzylYr7yXLgIZScy9m2OqkjVtfxOHwa20t8LJuy/kksgQWEKelIKG/4Xfc/J4+xnweRvZzfp
LgNXyN0gFVMEnbG9NU46QOKUrbXR8+FtXNhSZN9XkRgKnDHc2UIAQ/KJsVuXAjtUWTNgqifXikaO
8cybTeOKsDiLtkzlEtvIjrrspGs3h9HO4ZgoKBKQY1ejQ2/QQqlVrvuxAHkLGVOw15McBlrO3FZT
oa0y1EGhe0pp6GVvc0Jxbic8fytnnI2rNnNf85ocCCxGmHQ0Fvy8IVACV9xJKjX51h8unflVY00g
CkiBwLZAW9Md9E6X9qf7VvEocflsTutoKKkb9CsbyXUDhW/e1waSpXFGm2HBBWZG1BOPq/o5CsoN
p4CTxmA0wzhLAiAi6VD7q75yN3kAOUUHR7RuJo2E5J56tyw4AFt5vqtzNLO/v/snIekXtRVR2Qy0
bCJf0TP4J+XcTz8hYy8RQyCDrS5FTokTDEu5JngvPcPweG1MgxsObM5rQtrSg6Hr/TsTr34v9ZNa
j4abY5DEZ6oRbGCNbuP33+5X2d4pGdz1Twr2AGXql+ub0MNzDZcMLtKfWEMnKwnOocXKP3zMKcPm
l4sQILQ+vQIs7caXzxEMjG0Vi2DL+HMu2L49bTeOsg+nqXS/mxTwrJEFWdlGXIfg0N3rjEPoFNIY
J2CmM4NLQGUFshleFuHU1WVn9XDzi3gBepLpt6Ir1P3vL43x9dqwXuuG4+g/8Bn0fr5IRduyXWhI
8Ozhh2ZRWMzaWXs6zUFQ2iDnKEPug+Ky0bMGrPAJYFyZ+jodyvQw2zMUc5nNbw7ulf/H+uv/b5Eq
EIhY1v/Hf2Alv4i0z18Klb68je/v4meRtvGv/9+/RNqe/Q8DwTV8dRIHfOuHFBvtRffPv3vmP7jd
uotc0EEqzVDif4u0DeMfqPdYiSwPteQnmIr/DyS8BuJuNEGeyeYY/P0/3+/qX5JL9eXffzbpWZ9V
i6izsUojz9ZPbgRCoYLTcvjTWkGNGlPD1jgcR2Y5ldoGRNZih5fPrOIj9aUeFu5Yr3L6GbEPswcs
y30K1ukcc9mjNeZPvZAXrlzmLSkRPWal7oqDmLfmV2Rh01NRt4Kpj3TKx85XGK+IHBw5OgbM6HgP
TDowZDvBpVsjaLn86W78+9f+/OtO7/i/rsH+7Z9///Hj0JwavFA08xg6fflxtLTTbpkZ+E/Q6kGY
REX8UUtxpbt/WnO/fpJ9enHJMQiwKZ68Micr5E+XMdGk4Q1Y90NGDnQ2anqyGkN6xkEiCX//o6xf
VjY4OzZSYRuZFf8wv5wsgEdiERsZBdXu8OrFLV7hqj7Nqui7MdKOh5NX3x2KUG9dEXpgrdfYCIaV
l7Qpx+AR53EvtnbmPfFf3ZLDfcRduaCklY+JNp4RMPpCjpvtCDLm3OY7rvt5LawU2Ujdns92Qpyi
k43UmjppQL3aW4gZ1xQP04ZyfQzB87y4w/LUttmz1XoVJBHd+dMWd7pz/31nvdOPR3CpO+CJHJQQ
5umx/ul6xw7jjdmiNdH4Phgc9uKKJBIsghSn8TZoHkXlvmgcuU3sg1MWUygN1Vuppe+/vxk/Pujz
F/EMNOgWSzfSd1yqn78IjX6wholDswt6D4qXlrwTzXv0EwXoxihfyx5RQk7eSlmeyX65bUDiDHHu
bS3BmbgKzG9WTwjiBBTCabd24r0sefJczUa0lM71H77s6dj385c9uTBYhGyEJvQeWUI+f9k6p0tT
dBMZYjqFtwNs2dPHW3vQb+BzHEWX3TKn2cO23y0I/rJWv9dS+tO9ba3SCagMtu/BoBaCbUwOdUp5
496O+Ar/cAb7xcrB9wxA3SGp41VyWOk+f08naUHHZp4WMnW4ESg0o7EC/dCOEzzenlB0ZTDv5Hxi
ux34Frk8DxgckVNseuCGv79oX03MX77L16O0zkikhC0SgxtCtMgEuAgMwqysle2bWyR2f/i4H2vS
l3uE1YCniXkMhyT9ywPlQWD3l9ILQqtbGP4mdF/9ToZ9NfJU2Dc0RswIPEUDlpWU1vYUvgSeeG/r
6bM3E9icoxTdJFAnOPfVj3EP6U8FUZWrW7rFxZkJkx6FTTBFsZN9Cyq9DzucOZq1nPsdMqScpuuK
1LeWsba5ms3GoIfcn2GQyNdkFTEEtdvzEud+ROIvpGTsLTu01uTOOO2yIm4C95okBhosxtXvb8Tn
JZYeHA8FFQ3OCHBlHkf0zw8FQGqykjtuxILQbbGTKBcX+D+YSBx//0E/PB2fbwFoMSJF8ezwQZbz
ZdtwyL8z65h32so9erLFO5ptjOX0dNeYNEiMUOlDPo03dkt/vJ+vYeE+xUg56LzHzxJBXe0oGhMk
3+mnatu87TqJrqjc/v57/uKv99zP3/N0nPxpEdQJKElMwcyQydH5bIyRKrx8TUjgY8wGvfIoLcNU
DNkKHy/zhak+ShKC1r6AqbrQIwKCrV24ttI209RaO4tx75H6HEUYjImdU/vxNmldGzkwwoV+hFgi
2u4CNeawsgXsYNENE1IRgT4i4INRmDGfhv21ilvbXGkjVThVPnppvLDb2m4epi5/iU/apgnK8PPs
9Pd0I92QymT4qJi9rac4oYnZt8kZRsYlKgCd//6a/foQcdpxbE49bNMWO8jnS1Z0AccNqw7CxIkv
Oob2DhqozKKUFGb0+4/6UWF8eYxOZw4a9zTlDEqxz5815XrbK6sJwgH206Hvl4clE9aZkHNyn45Y
bsq2xfQ6H1XykXi0iBs6H3g/2WDHrpEhbRmXm+LIKwiYf/hyX0tEHh3cPz9sTeiaaVN8/m5lPhiV
4zM6zCt0OEnEpOpsae/+cAW+nlT4FIYhLGIen2HAyfr8KdI8eaLdMtnkMG/9yZt2M+6/EFbqdsnS
JpxVfz0mQryUrXOXj/M3hxF9rlPuezbjt3Y5Wa5kVm88NV350knPibFCHxl79h8OFH/1TV3saPgl
ieED7f35m3a5FRNKwDjPdxtWlayKhhyoHiYXGCE4LdzUAxwQn/lm94cF/2ufCLsipxgMX57Drux8
XWwGv+qWBil9WAnvPh49lhi5riBNWLV5TVgHwSLtHz7S+KvPRLSFyhgMOgvcl/sSVDOtq8IJwqCN
t2gIwdVmYjoIpkkhstbzpupf02K4a1ObYCL3xVzAa8Ta905myTrVmubCn2oY7haplN46y29//9zY
v5xTCCbhfMcB1yPTkZP757sxaXAZdLPTQoUWLMvRPjtxFOe8LoTpkEdYLOUZaVXbcTI/cofcOwCE
CtlD1Lnxk2wXiLSufY0W+iNP06iakBQNDSkQRXY1usVWpIDRHKiH9GxeXfbbjUd6wECc177hjxe0
64ecdB9EjyoE+9pGhaPe50q/7Wf7yYC1o/BzDZLeZRKPm+Ekxv79FfgFcen5pkvZ4nHI5d3BO/f5
CtRZ1lFtpF6oBu/WrJxvC6JcjDoa6smpXJdBJzckRBxpyKK4ZjJYQjlYyblUmy5R150cryGesRnQ
2Fxnhb2eTMkG79HSqfRHryV/pwrUuCKk4jxRXUdkOot3S06sHPFBkMdwjrxgDLM4fvGdBt564t8M
VvBkmNnRIKaIXIG9JNZlyNFEjeQtMZVc3uj/C8w47YXss3Dgi+LjuyzL6XzK8/OCZBNCgQjS7roQ
RFSCmGjcdh3aMQ38AzXIZgrAVJLAvUR2bYFnBwXUkL1IUxDwRFdN4WwUU5Tif7IAN5LNbhxAbL+O
MrlsykdvCTZZ9/6HW8GV/rSK+/QBKdI9Sjvdsr+uDL2LmNdDFBhaJmafnQN4rNm1hII2/z76/d+2
uW/fm4uX6l391ydb+//8/K/0AP79uaemxad/IQKT3MlvSD3m63dw+91/2gWn//L/9A//9v7jb7md
xfs///7yVpEgmCle/9fuUyOE9obHBvjTFf+lhxK+vMmXvwGk/dvFS0J49e5leC+zv/5b/t1RsXCw
uzQrMCud+h//bXuno/Kv6ttij/cpIHht/mN71/9xsrvScaRodn4UzerfdFpc9P+LuXNrTtxY4vhX
2ToP5w0VukuVOlsVY7M2Xq/X9iab7AslGwICJEBI3D79+Y1GYAmw9zKbRHpKgtMj9cz09d/dYoup
CaOUEZi//j0BlUMDw/YJHrgEkQk5EgY4rKwdjVJjjS7pXqxmI2zx9TtyPW19YVD8YH3F/tMPXROn
aTucSo8Fae4AK6pCgjlqQJDsRffCjqftpbsUk5QvsQHb8dRub/35nxGOd7r67NPqy93eDiIG7g7N
PyYDA3m/vl4zlcVhNnFp9z7Km1GOuRxHn8VbkfMg1sU/4HFW36rLAC3fiebdi9lwQx+P+RXtedPW
ioGAYp7nlmCP24haTuK0PUbQ+IPl+YaOqGddQN80WbKM2d3rL0TI9+AKwyfPMBkTYTrsiS1aJJft
5GjoAmKgdOWCtPqQzpDW1SC2rXtKaLu3tH5tns3sBriTyTKjztHZdsJpHDGV1M4oiVtaV0xl+NIA
N0WLOX1ybWZe99qymBXnUtO7zhIU9eoLUz4nCEIk25kzjW8oMw6Z/bj26LQR22cG4A/faVyYC/DO
1LiJaYDz6fZ8PrTpKmPfNAnm+LNRewZsmSLCG3+ctcnPdJzG/cqY3m+ZvwAM7tyaL1u2t7lo4LQJ
LCY9fzpM5X6XzRkl5RiXYRRjLv2xiRoMfZu3tsvHRnztuPTeslZmZ7Y5mxjW5dj/fZktPy8zIsoJ
CYDWbO1eWSmmR3blbSgIYJynmaSMLKT/ajq421odpsJ9YBRYa9vcMjOPJoput0OnsfMxqWm/SzGK
vXqIlnGHXFh7Ta81Z8zQ0ixK2/ORRz3JiroCehAbjt9qMLs5s5KbJQ2uFuZfa5eRMhZrgnmYMYDT
ZGjuwv6MadAZRYS+wT/oE/ssm1BkEi7bA+p0R+QlabLXGkwWsIdlfJrQz1f308S+Yz/PRg3zMksd
gHOr5blr070VMK0+fxy6t3TofE/XPxJOXoshGmekDjB5uJlL7wKnqdUIH8ar6WUj+QDMve34w2A5
6uLvPtJ088ti8RQnTPyhKnY88G8X1J/4ohQmvqTgoRV5bjuk8mzAWPcPTd+ePYRp9wsZ+cbNZs7O
udn4tjEbre4NGp+mtGzKzoy063/sRtb0iZpD4lMzhoO3ouWMyTzreNLHwhjeGdvBNPApknBI34tL
I8bF6sBuSXo/uHpm/Ab4Znm1wEP/EwwSgw4YEPtutRIpdbDng9+j2Zip6hsSdWQ5tgyyHNNGmS72
WfTAJNWsrQMvOU+ZlGICa1lTxzGbOeuAnPTkEl+fbNx6zvjf4XIWvjcz89Ymh3iXbJfufWpEc+mS
/Gz1dxM+JdPF9K+0qvByJfY0BZARAjR4+zcoyZI+PdKS+5C7UG9iQEX6afpjf1RWxseEvlHtIuZE
K3icmEruIqeXK/7X6EwC7IOsh143TI3oKrkGshP5g+CcTONB8TNNZmyHZux4L/Jn4g+sV+LT8Qcc
Wxw/9jeVD3iaZnEqrJkBkrliOYjI4rew4IBCiQWGhvtOU1ij8umur5mOaYFIMeSnYwb8K5/+sulV
nAFshm9hwAGdEgN08k14xr5oHiMeTKryGSCHRRtj127CoHpxQBjsOPOK368bmojGkhvjdJc+3Dc0
QukcfZNmw/lTt+/XSV4q776p2RhOhCW8fPMPdt8lGemRniTHJnkguf3PS4CD4yudE5EDpKBVpDYR
XGq3wNVIl5CJpeg2f6riwHe03NHBGZFP/cQBprgiD3Rb4xzYuodrI5/KhUAk+nTAELAT+WvtzoKB
v6jIA8NBHYiMPFw4wQMhFJCFMKhQmLXjAR3ZpKAGkzHoT/fmyvdYBbZGP8YcWnRKJmAVcA0cQou1
0wg6EW95MxW+3td0nzy/wPOV1IHLwSB+YIHlkEypnwRoEvAlm6V4A8wms3zo6Qe68NTuwwdC/jYa
w5X349+yCV/UCAykZjQQIQIlhYAwxACkMUTeGk58avU4WJrAJpCvLOxDTku9rCPUojgOWHNKfDCa
msDY8Zw2EISVxI8An2rKANWDwGwrGtrRmY+8dP5U7WPX1egYRctau7CQaioXBBRE7SBYGq1EacxW
sodL8tE3NQ+l4SIZpFyQ1kiNLEUhFwyBuFRjA+4CLQ6BDZx0l1w6rBIUFk1cJRvqdxyspql6J0xd
8w3Txuw+zQTRgdYxdBHDz5/6McE2RUZc6SSYuE7YSaB5i5t/oCFs4TLkw/VqehKoWlBmAurBpgGx
yDHvr31JKngW2sPDoKYbcf7UT01yTlVFo45opIm6QW9c+ZUHKgLnkYNCdqKuToMucAKK10HHULBQ
AK5oIV86AhiMVpNkN+3QJXNq5zVgJJm0TaaOQCg3g/pU1QOBaPCxvzxj5yofiAaCDdgLFs6EZEnt
bCeLd5dC+8cdKd3XLGKKAhH/0q1o0nmCRrbyqZ9oyC1ogc5W0hMGUXTcKZ00+SkR6RN/zUEwVBDI
J1+vRoaT6C+veiMMjjy5cq7XydiS52nUhovrUkjQ+lkMAulgiGImtcNgavTmJ8goMA0lKZlHm52m
QUmhPAS1EwlgcgFPoMMUOaC7GlahAw6vygHCi+RjRR6i4IAM6dboHkiPWnSmVjsCDkMddMArp+1G
H5MJ5BeoQSk1m/Lq1YgPVE2KKgglJlD/5AF6oxnEaZPJ18AFivKngglyvVoxAXdSkQmE2ijV8Hwx
h6MsDFxbI8wOFnMXZa7dVRA7o/r1hNptjwwr+We5yQdMIKCAJEArFu5V7ewD8uKOfCkFI0nXRLUD
0bUDaYhCZIYLrZhrd/0Rg0ITKlsEpkZbLmF0V41j7CHuA11tdrGF+u07xWnyRv74vnP48wgKkFP5
VF1GD7faofoPvGJ9zYEcgqLKCGQgABPcL4p/8ufgHvgad8AEoSJ/9et3GkSsT1ERgMPxyMAzWaTY
7ioTPFejxgIHgvuSP9/BhG9QmXtsU2sYTno5qinsL0r44a/+wQ7TdEyggPHkmXqwOpU/FNhiSVqm
88W/v62kdXKoUenHHfQoX6f434sPPF66stbuq3b/8TLsJ0HyBEA1hzkXrylg1//7z69xbwhi+WMS
9PqLYQVulCfZn1/oCBm9t4lepU/76KhMVuatVcmehcMgKZOVqWBVspdBsgnioEy4SLMqU2ZawtMw
mJzktIxSqy7RCaIoe/PfIJr98uY6WDDTpcIhQnIiAqq6ynWQxMACx1UmycCiMm3O6eSAcB6sUyX8
ldYGL6P/v+mM3wS94eb0HZKoJdXXv+2FdGbY7Z2QL0U4W5Xwx6xH7VM/STYV4tLnUScej4LHKuHc
j1AlfB+MgkU6DCroyMJKV6X9EI7HYUVgFREhVcKfgiicUBXSy8ocKcxqVeK/pSnFJieEuOi+hX5V
pf+ZFh+vzG9Uvj8IcwRWmlTOeBGXVX33d9kI6umOCeL27LOjyrSnlTfeozFU6aKVgyiIZSFR+DR9
ZHevFhPqihbV7yhAocrrMYTjZfW0Rx2qLnMTbqdJ1RwoHCziTKrEPyXhLKueoGfvTZX4d9V1KV4H
UTkmtnrHkgL5CcBFhONUv+QmiAWfdoRKxHFylYn3B9g4waZyK4pQIp6vKvnz/mQY7sg8v7mouFUm
vb9v52FFQsu3F9Ai1SVaaKxeSFVg1czeI9nU6Q+DNA0XRys8g+dVl8j1TDAWH7LjR74NxQo/QdN0
UAUv0v8JR+hTn6s1OLTxn8P9qhx6H/TgT5k5JzOuqsuclkdvfqXw9Pylk4xHTYTRAylHwBVES95n
6PUXOeVv7mtijr3QXT3Mqf+t6mKLv3ia9IPk7f8BAAD//w==</cx:binary>
              </cx:geoCache>
            </cx:geography>
          </cx:layoutPr>
        </cx:series>
      </cx:plotAreaRegion>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_xlchart.v5.9</cx:f>
        <cx:nf>_xlchart.v5.8</cx:nf>
      </cx:strDim>
      <cx:numDim type="colorVal">
        <cx:f>_xlchart.v5.11</cx:f>
        <cx:nf>_xlchart.v5.10</cx:nf>
      </cx:numDim>
    </cx:data>
  </cx:chartData>
  <cx:chart>
    <cx:plotArea>
      <cx:plotAreaRegion>
        <cx:plotSurface>
          <cx:spPr>
            <a:noFill/>
          </cx:spPr>
        </cx:plotSurface>
        <cx:series layoutId="regionMap" uniqueId="{00000000-5C8C-44A5-8A0D-E13E0BC8C5F6}">
          <cx:tx>
            <cx:txData>
              <cx:f>_xlchart.v5.10</cx:f>
              <cx:v>Sum of Public Toilet Seats</cx:v>
            </cx:txData>
          </cx:tx>
          <cx:dataLabels>
            <cx:numFmt formatCode="#,##0" sourceLinked="0"/>
            <cx:txPr>
              <a:bodyPr spcFirstLastPara="1" vertOverflow="ellipsis" horzOverflow="overflow" wrap="square" lIns="0" tIns="0" rIns="0" bIns="0" anchor="ctr" anchorCtr="1"/>
              <a:lstStyle/>
              <a:p>
                <a:pPr algn="ctr" rtl="0">
                  <a:defRPr sz="1600">
                    <a:solidFill>
                      <a:sysClr val="windowText" lastClr="000000"/>
                    </a:solidFill>
                  </a:defRPr>
                </a:pPr>
                <a:endParaRPr lang="en-US" sz="1600" b="0" i="0" u="none" strike="noStrike" baseline="0">
                  <a:solidFill>
                    <a:sysClr val="windowText" lastClr="000000"/>
                  </a:solidFill>
                  <a:latin typeface="Aptos Narrow" panose="02110004020202020204"/>
                </a:endParaRPr>
              </a:p>
            </cx:txPr>
            <cx:visibility seriesName="0" categoryName="0" value="1"/>
            <cx:separator>, </cx:separator>
          </cx:dataLabels>
          <cx:dataId val="0"/>
          <cx:layoutPr>
            <cx:regionLabelLayout val="bestFitOnly"/>
            <cx:geography projectionType="mercator" viewedRegionType="dataOnly" cultureLanguage="en-US" cultureRegion="IN" attribution="Powered by Bing">
              <cx:geoCache provider="{E9337A44-BEBE-4D9F-B70C-5C5E7DAFC167}">
                <cx:binary>1HzZctzGsu2vKPRwny7omodzj0/ELvTEmSKpyS+IlkgDhRlVmL/+JEVSJtstW47NHXHZVsgigUIn
aiEzV66swn9/Hf/ra367dW/GIi/9f30df32btG39X7/84r8mt8XWHxT2q6t89Xt78LUqfql+/91+
vf3lxm0HW8a/EITZL1+TrWtvx7f/899wtfi2Oqm+bltble+6Wzdd3voub/1fHNt76M32prDlwvrW
2a8t/vXtv8qbbbEt32zLmzdn9mv1ZevevrktW9tO11N9++vbZwPevvll97J/MuFNDla23Q2MxeRA
IISIQuztm7wq44ffa3KgKCZCUaTvP4/febYtYNweo94c+hxs9I8n7jPum2nbmxt36z3c6Lf//83F
nt0dnHv29s3XqivbuwmOYa5/fXtY3tjt2zfWV+H9gbC6u7VDOBPm4pfn0PzpFzA7O6c8QW93Kv/u
0J/AO72Nk22+ncC+l4KM8ANOOcNU0u/QPEUOHxAphZJIfD98/9X3yP2URftxejJ0B5XTk1eFSpgk
27a1Pt665AWBgZkXQjHNCbgUfPAzl1LkADFMJEfk8TvvEflZa/aD8nz0Di7h9avCBaJK4rZvLtz2
5ta/IDKYH0jOOVb6j2j2xGWkPtACPIprdu8y9DlAP2/Wfoh2x++A9K+LVwVSmECUty/rOhQdSKIh
qqm7bPQn15HiQCrEseTyHiBIVk9j2s+ZtB+cp2N3gAk3rwqYf7mu3AIlyV/egYg84JpSpTm+xwdC
2BMH0uIAI0mleHQv8Ryff2TZfpj2XGIHrX9dvi60vN8Wj9O0jyv9MyJHxAG4DyAEQe7+8xwh4HOQ
eiD+PZCG3RD3d9b8AJX7YbtIXL0qJE62N9vsBbMNpQcaI6zIYzrRz6CQ4EuKY8YQu/elHSj+3pz9
WDyO2wHj5F+vCgxjoaZ6QbfgB0JqmG5O7yd7h5PBYaSFYHqHk/2tGfsxeBi2A4F5XZHpdFvauntJ
ENiBpExQ8aSYfJo96IECjCTk9++h62l2/wl79qPxfeAOHqevq4ZcfCv//8+2qP/fm4XtvgkBiy0I
EW/uf3e2jeHfm21/m9sX9Bx0wO7rGLXPc+SdQAAHsNoJX/fWAkW8s/WvzNmP2c7wHeR2jr4iIeB4
68ptu81eUAjA4FYYMcIecNqpN4E0Y4h9EPn2p/yfsmg/SE+G7gB0/LqyzeI2T17SZ9SBYDDdSOwv
Y+QBxpxJSEf3gW6HJv+tNfvReBi2g8TidUkyF91NB7qrc9NfxYx/xokxPlCaYEHoXkEGyn7QyYgk
Dzzszn+e5p2fM2k/Jk/H7gBz8flVEbJ19ZIhix8ACyBUk71VimQHiBOhBSH3DsKfI/I3tuyH4tug
HQzWrytMvW/brYMaBbLq44T8+xUjaC4YHAMkywehWD0vU/QBQZwS/YjUDhY/adN+TJ4N3sHm/fHr
8o8uBWzal8OFQEtGE4HlD9I6BikGxH3IJHuTyPrv7dmPyfeBO3isj14VHputm7blC8Ysog+wVlgz
cIAnVQvQK8oQ5A72wI93kvlP2LEfh+8Dd3DYvK4qcmOL/5AYSfGBJpRDq2V/WpcHhAqCqfgBMP/A
sB8g9Kcr7EL1uhT9o21R3JeVx1ufFPYFS3/QwjgUIZyjB8qrnzsRvxOOIQM9Ht5xonvL7svcn7Bt
P1x7L7KD2NHrSjpHIJK9MB0g9EBwgSHfP5SLz+mAgq6zgKYzLAm4Tzs7LZifsugH+PxxM7uovK4G
zPGtg17/yzEBDBIMA2FMSpjs56mHIUUAjocykzx+531D+e/t2A/E47gdFI5fVyV5ur1Jpv9AExkc
hFMFPUi+XxBTB0QpLSh9iHQ7utjPm7UfnN3xOyCdvq6Uc7oFp4dk07qX9Bd9wGDthaLQ5/r2wbtu
g5HSlDx0+fVORfOTNv0Inic3tIvN6wpjl9t061soNh+jyr9fa0J3kisGlA0/UDaIWE8DGnQAABRY
sfTgOzvI/JRF+3F5MnQHlcvXVdec2rlyL9oxpgcUQdMF0eeZ/tvSP4GIRvtXw/yEIfuh+D5wB4jT
315VgQntFsjyL6nEgHdAPa+gnNlLkjU7YAISDyyBuf/IR8e8T/c/Y9B+RP4YuQPJ2etK+ec31icv
mEgIOuCYIsYgk9x/noUrBYAQBast0EOe2QlXf2/Ofjgex+2Acf66Cv+Lrky3Xx4f0X8/d4BOqWC6
Nehhz1CQ/ACW7DFYBftHwfJcvv87O/aj8Gj/DgoX5lVFqSubZfYl1xfBqhWJEEXkcY3XMzCUOmAS
lvDBQor7GLVTyP+9OfvBeBy3A8bV6yrXr7eFzd+cbW+6l3MLaG4hLGA5nnqeviUggSTAxHfSxM8Z
sR+Gp2N3oLh+XYsprm8hd8cvKhBjeQCZWXBYevfMJ6C/iJC+Ww/+QKTg8NMA9VOm/ACPP+5iF471
qwpT1+5uqdFLpm56IBlHIBA/Vxo1ht8TCaLwQ4Daydk/YcgPoHi8g10gXlfW/taR+w8sHBb3Wj1+
WDe8s0ZFAdESgnLyKDruiCY/bdV+bHaG7yD0/nVJJh9vffvG3ELwyh/jyL9PrkDUUiBokTt/+fZ5
HsKUPNASWil3LvXts+M1P2nTfnSeDd7B5uP/32xr/8Kz++B+D8qzM/7hpjzoAN+5hBI7hFffLZ4A
FQV41rfPDsd62Af3Yyv2w/Aw7JnB/+FNdT/ecPd9r+ICFsstv21yfLLn7q+Pfrs92IW5M/Qh5+71
lfu5Orz59S1hsMHhCU53F3mWrR+Lsz8NuQWx7Ne34CkM1Hh2t4MFgpliINkP4LFwBAMhg/9AaQEx
HzEBiamsXJvAlxIg1RxqTCFhaxjCHBD1VXd36I5UYFi7BGOg9UyhEP2+y/Siyqe4Kr9PxsPPb8qu
uKhs2fpf30oB0md9f97d3UkQELiCtZoC1B5oW4MOB8e/bi9hKyucjv+v7UWjWNXOqzqvmiCsCp6X
xo0BOk2kS5ZOer3qahwtdcGTYknyIjrBosxXUT42x1ma4mU0oiJa9NTq2kR13BlCWtkZFQ3SrUnJ
3emIbSKNrtpxGbetwmFpB3dU6qn5NFueLzpS5YeW5smmyFK36Yq+Xfa+SzZNE5fnlknWmiZue73g
lHUuLDLSJ6aaWDcYwpwrD4nK2bEdbaRNVzO/jDoanA6pyxqDMmdjU+gxuI185wqjBqy/WO1UiNCg
Tiue2qOq0ygxRTZXJ4pT8dFDn2VcYpT40mS1RJVx1vV+QWgXL/q0TD+kbf55mJE9tc5eR26eQx4X
/SFPhdsKMSfHjDTJZeRacSVmlp8im5L12Ad+iaRNjJ3K5LCfgsCwHh22gctXgO281DB1SxynSRg0
LjKoTIZLV5I2zLQ6VdWYH5O4tWHssxsS19x0orKXkeLpYYnrfMllP/02zpU4SfiMZjOjoMxDK7I+
N6mi9CirbDqHHtHZGt/VyWiqnKvjoI1tbWDSmDV5jnFj6nFIC1MkUr3H8YwuxOTHS93nuT5UpSXe
oDRuzjM6Ts6ogvhtJZOhORz6qjsWcUycQdUQnVeqqLApGtX3pnCprI+HGuc0zKY6YSaQrMvNXMf6
wvcxoaFoJVOrcmLlkR99GkZ1XhCDItXYRdwV1q4E83RBhiw9i7UnZ7YP0t+CviOryA/lukyD6u6W
+vyyibV6X7eeL3mrxpPMF/15i2UOUOreT4aNireGDK6/UrhKUlNYSj52fBAfqhq7IawHh99prsW5
IKwvFtxF1abjMt8Umg11OHT99LFFJP7ScJu+8zahSxokcbNM7TTFJwPcUr/qclwt+ZS7KCyFsJeJ
7NSmlRnaiCweVwUvijyMsr7aNLWsTnOSt6u4vyLOdiEf+pUMkg/V0IxhlU39WdfCHGMv08+jbLoL
Xrk+5CxpjHLleTviMzpNeJF14/wua3J6mjYBTFngqtDhojnVOafFOue8Ba+exmQ9OGcHM5VBm5ra
ETcvO526OQzqkS9YgIZbmUafW5q7k7Sh5enQ6PEwroc0Neksm03nC3ZSTWN1VM5eeaMIjs5T7wNn
yj4qjzsbuGhFBmxl6JCV70qb+w84c0kbjkkuT73G7tNIWFkssKvbzEhViWNeR914OCjiu8OyiYVd
op6q6TeGAKQrr5ph4XlZ3eR6qEQc4kaI+kTBs6+dwU1n8ccgTsbxMElB6DZp3KtmWVGWoa9URJE+
KasmSxd8ohagqDJthk6q4sgGcPkQ4X56nyiEF7xri4+YjKw4SirbrC3KsjScW96lK9tBmDYQolG2
lLzLP1o7DutOu4CHEOw/dI0eTjBt/VkwoPJ97oBuhTERMjMqH9GNlKlc+zHKTx2pslWfBNGqb9NI
mHKa6XmFx+lL6SP8OXdjHkrX8s0IXgQRto5XKm3r68ES7MMczXwaw5w11U3ct9W7mYnoNg38tMlk
N9+4YeyXJUFwYRxZHC9zOrNxPcaU+2sbYKZCJr2Kwzap1Hg5+Ub2S+n9KFaygVMP45TiRVu6aFja
tMzFJiJjFi2Kbijy07KQNTksOtoVS07s0BmcxfN12jFSGJqwlhrGBEsWXjEn1oSXcR8qr7PTkVcB
pJeYrmqc9KWZO8wMqaNqPelqDpGuAMo8Ps99kZ845eIwYOM4moDFs6GQeEwx+PqoE+nsTafFsJ7G
sTiNMze857aJT9pKi8TMjNS/dQ5uJ3QZuITxw1jzhewaehwHgZpXjSyoDou8lukmi8uhCCNbTF8R
a9LJ9NmkvyRNgAtTp3YoTS2TmZqpQaVeCzlTskTFNE0hs5xNJkuq/NJL6cmyyFOZHEeCJnYhui7W
kMGq0p7LCrnjoUiG6jCda3Y41IQNpzmrhg2sbQIv8EFxXE253QwRrME0QTqOYVpBmERD0l7KsWtX
Pndo27TzJeuloibKou4KjRkrTRz4AC3a1Mk+LMpeekPmTGxdPKF8kdWj+Og63umQiTqNN1k798my
a8QsjE9QPkPMTtsQTcN0G2ON3nPcDletjttsUfVTe3W3k+e4AR82Y0DYJfYN+xh4XRxDwGZHngeV
4amLF8Mwnc46Z2PYiWQwimcns56PSAsOazzO55sir1gKCYdNE5joBT+zSeGDsAAoY9M0hZtW3g1B
uWY5o78DcZq6VR2oYnpHY5S85wnt766O1HGGCxGvLa3o+3RMId7BKsm2Pmoq3bqlK5r2PJBdHpmg
J/pjnetig8uUVSZjqKEbHuA+CqMgisaFSICvmaJwGV/4zAPQlqVpce7HPmmXqvf55ybK0LlLg3Yy
Be1EH7p+KoFD6LFeIJl3n5uiLM47MgeLKo5mGsYx91d+ZsFWQYOahLzz0i67OIZAg4qEhUlOmiYk
OSvO4a6boygJkN+IGg1jmCWdv/V5guiiiIdYmUhpJjfV1JbKuI7KJFRBY32YoAQCtphx4MO0LYZT
OaJ6DquyFYOJOa5vYF8iz0JZ9tWRTxpah2xovoJ+lW/qZpZfO9bPNlRjpIKwJQH3IWSmeVlXTQrM
IUXxZx7F7oSjtP8Y2HwuDZp8etrj6r0aGk5M7m2Ml7BmhR8XzqfLtOjTbpEU5Q1sVYkglUXu01xW
1aFrMsC870R3Nma1tiZBRWuiKhshpqRVanKhsmlVZl1zkdp5BpeP2gCbnKaJM2nTdJ9tl7nOxEhj
vIo5GT5NSUFyk2U4jZeBYvFxwFT8vhtFcgvvYqHg0v2QV8uqq2Yc2rmER2+Mi2Yxt65uICp3npjG
MxFKWD6oFxFJi7DvuuhD37jSNDRxaydaYuomr8OgmOblPCVrIKSbDGXCG5em5YpNog4VmkVrsrGt
jqgaKjMUJVsiLyEE2iLzHwersyWL2zGEvA/xJIOn8ihWNNq0cV6fVH08XDeRGsK8jYoFxWz8rBuR
56F3qPkSu0LZcE4S+nUsqnCI+mWUVfPnJBK3vY2cCQSKNz4iPTZqEnNs2KS40V0lqnUUFRMymU3m
9TQlZFoGrUOfMINs9DFpqqAw80j5Be2FOpytT92SujxvNnFb59gMuiMNBNoy+1LHfGzCGQLEYmBV
VxihkqAPRaXrjYN0EbaQAw5Hm9eXlbbDh6gdG8OHnAxrnwLLDJLyuCcyCUzTpsm0CXyhRuPKkham
JHq4VlleOsMbMJrKrPgiMZAEYjPGF0WfBbeOBQWwTiLg2qNy7yACIRJ2iNYNPASVv0D1oE8YwnGw
AO1PX2Rp6a5ANufZOhJZXpthKpvfhJU2M75OS7wAgjZ9Vmqsv3axBO+QbdnoY3A8IIa2TKqtFp2/
5rinJx2j5KIYsX+vqMrqJa27CpJdLCbIs/HEw94Ges1INW7g6RmSVZGg7oa1k7abarb6WFBZxBBq
ZV2a1A1KQ8SlZb9IfRsYWJmfbPK8YLEJvIw/wT4VEU7wqDQm73IAsK1o24ZA2fBWK98dYTHEpwMp
qtxM6o6C9W0MfKCYiQNyQCNqgBN6M+vJn0yRcLNp+qkOzEwipNdJyYpbCBLpNh0GeZorlNLFNDbl
EuYMVWGv7Bj2LU6yxWjLKFrgqPrgRdofg7Oy0NohCPua4iNM7WgUzZhJeDcsIaqWi0QGBC+s1BEz
WKQ0CeN5it+nca5vYl2Da7tEZF/GjqcnruaaGGnVWJjeO/yFdrZejCiJQxtkZFVPUDcOrKyXFRmP
XTRlppmzdKlpkp/TdC4vKilSEvZBLELtcwgsdZUeDs67kEOQ3OocSVOpjv9ms2T+MuZNkZtaTfHp
pMv0S02qcjGPeXzVFTj7RKICXdkhhvpPQg456+s6GtYEl74NQYhpsxAcC5FVi3gZtta5YwJusRyL
oVUGBZtBASkoy6uJzjkxCdz3Oy2xCitW037RSS2Pp7jMi7Ab2/yDT2iyGWcgFwsn8jkJXemTG0Fr
IItVpJYNl8W6dHSOV7wok+O41d2FwFFymAMA15r3+RXEi+YkpnAbwIxwBtQlmUw7QMKd5qm/JkNw
JADQCMqvzzKFaDtqFl811fz+ifyxT1PYVRS0gM4rlwKa4BrW8IKs8VRRUBQmltbtvM4cTt/Vw9ye
sUTgxVxieWTnXK5xOSaLv/5SkCOfyxiw9YFSKpVWMPuYgmTz9EuJxdUcyWxcD0mcnwDLaC/iaKgW
FKXJdT27bgUlmTj0w9Dc/vU3gxTzp28G2QSWy0gG+5QZev7NNeeDzAs/rxtVU6A6kvVmrERw7Caa
zSbX0d2SkT9eSPUww/cqzteqnkCdSB5eF/b9x/+5rgr48+0NVX/88u5tY3/8dPr4mrK/PGt9W92t
FvG7J91Jcd+vBcY8SHN38tezH/6kxf1Abbt/69kPDv6cFAdCGIRoAdB/f5XZn9S4Pa8D+UOY++MC
99qcBm0Oc1jQpCiBrZecgjh2r81BVwiac9Ce4xiDV0qQtx+lubu1hFrA2QQ63kwS6KY+SHOwXEdw
pDislCYSdrVL8k+kOXir2vMnSyGQ3iUsroZ0AqtKIMc9f7KauKgnS5L+0Fkbp5tu9tm59FCTLmjU
Af8cxy5PN/AWu7ozsoaK2lhVds0ChBhyCCwoXcJz6w7npOTiFKNs7Ew/WvjbU28/z7bWjYkV6DdL
yKbxEYhGegVqHUFLNyAan1WcF3YTsKn+LHKUlIsKW0jL4MexMFlceLUEQVp+8EPMVriVAzKq7pdQ
PYD4YxX7Us9Tli2jhgFDCoCK5gvIj2oOZwhK7zTuUrsZQcCYQzKiiWyaMQWaVcw9Bape9uqCkqaP
DKvroggnjuPTElH2roUCLjJZ00tIKulQ87AJGm8NVQX6PbGompdNrHS7YCxgl2USsXytoyL+1LCc
dGuloglUgKC9qNM8WvixKLtQpTWUrtSxfpukfjyEF3UU3hS1sJ9ZIPzGRUwV4VAh9G4chFsMBRGH
GLeloSXUt0alJRGG4iG6bgWZPmHg6q0pIcWCwoQquyFKdmlIZ5cJoGRpwZe1l/SUFHg4HcY5OKYF
BMZmZnY+o7boMAhAFcXGsamJV0zXVH/sgZIcTk3i8TLXqOnCuYxJA2UvDiD35zG8OPCw8Z6jc3U3
L9mymSmot2kuE3XtE6gATetcaiJR15+Ip9nST/3dZCWHID1DFivrYQmXYcdUs2ajMii2zvE4lnFY
yKTH57FUcQ+aXTuE6ZA2QAWAlLAOjZetRb+nUwMEKMtIOHgSHVZB14OMFBHjGgzqXOensJ+i+UxL
CUortRzyEmtXNsMT1K185NbEYmALqjt51YPMNNQBBiIWRPooyEFfYGl05VMVn9G8/0hqmoaZKE8c
PB8hvKDoBhfFYdm7w2GMy3WQo2LNvSbhWKZ2See2PAV9sTwS8NhcQn4KDsXYZ2FKGUxd06h1wQqQ
c6o7RaE5SeKAhfBKt8zMkToFid6fgkqOQdOCHJsngwRUWXLDoCJcK9CuPtqWl2c9zfim60kaxrqa
TKCTzvDex+eZquWS5l11KR2rzlw5+pBlHKoISGtQiiQoeh/n41XWAoGdgD0fTt0APE1Kd1SLBMpQ
XUULOVJQi6v0S4VTCokbZ6v4Tk6RMYlWIsrZkpVDZjB0Dkwf6dDitjttcjE3JkoQqJIT767zpL7o
a7fuRzQPpuM4C12atOdRkvuQz1MLbMnSBS9SU3GyhvonjKf+Erg0CBAyuCrL+rbr7EU24NbwCGfL
vAU6WqZenrcteFmsAij74Ihpxqz8xLCuIRjRa9bD8z8VgeFFdJPjZI27Ul8E84xuXWrhSa/q41pA
3wAPUEAhDVKCy8bfZdked0Cgw2YIAPkaarkAZPrARDg2c961Jo64W0c0Dwy1rVzNU+VP0iSQpgTl
KCyAhoeDlCBrT3z+FIDdqzSN5mUCitma0nQ4VUlGENTRw1XGqyvRRulRzgsZapT3IF06uVRsZEuQ
ust3zlu/BBE5NrUo5rO5zTq2mIqRbxIMTDvrQYpeAA2lKGSsjKGsaIIe9GsyfbBpW5mJRsOZ1lA1
iExmS51w/rVt3O91Q+kCdao5GkVEVwke9LLFzIag3BcXXE/CxK0nR2NOsy9VXZYrxEGEMPHAywvW
oniR90ht4EmASNiCgACSc6M+DprEN3XWDxb6qt+z6h6SJ/gdo3rSOILXrsHaFlgIebemCIgPhb7W
U8ZVVa5JUpAdDhXxfbuI8FCIBbwEdTr3ZUHfD1XLIMZVNlsMtJmhsHN9eV02wbR0SY5vurjR6clU
DRgvs5bPm4CICBl3h35YKQxpakCDrMNEgvi/JJ0tkCkVTg55V6jhfGS5c6bK5gGqEZpdThKVFCQA
LXp+XNtZnc5zl10kCrRx1tTRXb+C0ha0jdZ/CSgJhOGJ+Jj5CWqcMpuokTLg3KAGrm4iKYZTHWX+
EIqiad1BfD+e42Bc5aDWmBmkpw0fpT7SUw+Uj3SgSOZVDG4ftR90GtQLMQQpCDTago197sIWeIjB
AU9XcoS81apKmYrNdSgGPU8bJVwANWSPhz5fS3j/qjWjQv3GoYkXJ5JZtdQOdDHU9cEtbAyajrwn
7DCPq2YOHUPBZZaJejlWLT8vJk8vPE2A2w/TcqYuW1kLnSJczl1q+hRX5wU080LVBeqct4J/LIOa
Qv9ONWGbN/UqaUsP4srULmuUtCsaq6uEqzL0/LcynY573W6rFq+7pE4N8Yid1emXvneXOsDqpMIJ
Dnkwu4VKU3+ZoEyHSQUTB3wjLDvUQFwZWLApUWe3GIQjEErZaDrZH7VBeUmGzp4lUZEYjai46G2y
kSzih5BWshC1Iv/gZF1FxnPaHM6yE1D01r5f1nEUGF248lM6jX6BSP1lHBIeOse04bMuNxiezfNG
NvjKxvyrrNh4WSXgeXToujPfch+vApWAAqlmHs2HCuTo+KjsY13e5BOrP+VMVNDUzKRma816flbP
dU8gKHM+ftTziLsFqBD1diIi+wy1GJuveBSQEuyTzRQKHTefMY2TM1W3FMTOUnwZ0khCd7Hv6DLm
NPjSJ5m3YSH6ISxxy9c6QHYhE5BySZGKK0qD9ivNiTYZ0cUVKccuWco4m9c8V32YNx0H2S9xpx10
M3tQscv4N16o+BKxlp2CHA2MoBkgz3dDvBBstEshAnXdZAwbZqnYAqvNJKSTMcabATX5kR2aABTL
ACfI+DzILkGFGIZQQaUDHRmXWRRmedGmIQPC4ZcQ7OpmlY0ghcYQsWozurlrQh9N8VnRxhqmk6SQ
9uU8L3EZNJdTlRYfIbWwWxCoug1QL9DYJlqxEJScFBTaFLoIo+rKTT3pGaKfAnlgOXS4/CB4mp1m
U0bPKlb0l3Gq9afOU3xtCxasoHUaX85BBpSHIldegRnZNZ5nQLexkJqgIYuOhBr646RhvAKBwMuT
JMv7MnS64UsRVX5JHPk81aU9SiQeUtA7s/Rz3lr5aYqG3/u6C1CIcd9vMCpXZLKQugae8nWWTeNv
jk4uMdHYNYnxpYLXSqOkv4IOLfsUjRJ0QlL0UW1iT5Q1VvbzplcF/W3OGrSApBR8Fq1NLy2O9Lb2
zXgNOmB5ksIms8yMJfHAS0rMNyxFfb5kKP9f5r5syU6c6faJOIEkQOiWYQ81l122y74hXHYXCAkQ
IEDw9Gexu/8/7LLDPpfn5ov+ors2g1KpzDUktExIp9Dksi36NkVBfTLeZPucuQ00djipCedqJ8sl
DZxdv/jx4N0tvmlY0hY1EwltCwXMtO5vg4kvmb/R+bvfDECEfTvGn0jrDzapBfXYdadAQCeS+oCm
pmUtEm2cbFLjDUOUWBwWn+NhaN6HS6zOS1GwNCj7EpTPFHjZGBStSEOBSixZZjFeIemNU+avs9NZ
V/TNmoRuoV8sN6s6uWCpXta6A3rcFHq+NfUGGQCAmSHRio/bdYwa2ydGlderQ3o5sMXy72imyU0h
o+mqqumgjpzR7aMdKmpyYsl4CkvnfWjHsHqwURu/dI7Y9zNBC+X2kETzpEC3DaLEJmy6WmLL94iR
dCjb6GabDYFOgQj0P0B6ysTaEiASRB/lgw3F9mR96d2vtUOy534FLt1t2nu1U9DWydhQAfpp9MO7
TcgI7YJm822/tdPnrWLsBdTNOh4Q8v0/qy3VGaRmoVLQjuVz62QpDqri5XlCv/FK5TwDWi91nzdW
Ar3sJXd54c1qBhSt+o+kqbcl9VrX5Nrz4y7BIbrkQsVrhepgdCoDBGavx6EW93VciHd4P+3dYgmq
zmgcPjf9QvK4YG2bDSheTOpkbz43trN90sQWEozCkyF0Cos7A4xdjqxBBsjqMCR1WvMO8Vgb190H
gZH3k6TlqffYGCdLULLT0ErQC5rr2SWsVpamlQx4l7WDFR91K8G1hR3/QDyyvqCPYV1SOxkESd+u
0YpQkMPdsLoVQL4V7mEdlmdIO9/Pnu2fmrnvQa64truftO93D7Ny1WneaPg12rydd1m1vZMldec+
XFRuHB2fQQWOr6704ybzli5+3/mueb8FdflxXTROIjXz6twMTTWnG48BvrWkVQcUwt5t2QkaQh/j
teeqrL2USFZ9GOaIXq0ts8OVktqvj2LyZrTaQ7zctaIa7nns5kRX/fYuko1LQh6MZx7N8WeM9XLv
B5RbLiPOK85olaLyQBzT5xb15nCw/dpk24ToTCldO37fE71iAwE5Sbd4Xo9+v7CvYKSG89T73Z1P
lANyz9cmCYZgEegnDSqwahzGMhG95x68YWkSqcPlG2el/V4a7a3JVMfNgDFuoJOTFXniK9rZOZnQ
wvOUhlGfza1HAUAA+kJZVK8fy6UGRYBXDNRVCFOjlzbVMmY7Wj/vbB7A0HLeWObxuAfvOdmnINQ1
yYLCdSjNNGvLY+kta0JI0N/GoHqPuo9YMsWTezYdK9R94zURYnjY86aRQMwz5HN23VtnmwejBlQB
MzpheXR9sKK+4N2OvqEqgtKEdjmTZkEwa7GBxbHlt23Y2PUYx8rP494BihZNqcqsAdV8Pda69xO2
FOt6tWggymcMKoQaqgi69YsRKNv8qW4+uF70/4Rqic++J9pPYaiqj6KdJ7Bb1F+Oi++Rc0cCe4wi
N50h+InTzWunV0WWFR0xA7eYyqbVLu3HeM5WUowH60LviCOpz4Ra0cf5aMYaytHmlwBTkqbk4beA
l+OURMKET5sgemf366QU0RWXc3BYtWZ5O4rt/exW/04Dncmop7pEFKNbU+nq7t0YieJbtxmayHDo
32vfrTizx3E6TJ310C9aJt9tAKUOI1QanwLhzXdaBe6pM7w9o3Uca1SznX8v+RJnojXF7aj98GrG
hn9aLUr/wdPrqeROpqt07WsX8/Y+pEP4hLBHJVwHV0SO7OxIYZ+h7Aqum4hs13wj7lSFbDpPZQUc
27L2SKHhGnn4HjX58LhwqM7qsgxuqol1JxXJ6LOPlXspWF2m6IHCwyyDISs2om7M1MqHka8pYCrQ
EmMD1mWhwBlAkJWvcVB9KJynT0Fo8mbQ7Ijabkk79Jn5ysLhxhr7Wcxbe+zVuBxFJYa8gm4kiyOB
8nSLPwkkrNu2Mss5HOU3wnmxoxUKtBlYLstC1AN0uqJVIU9RafV1EdcUSooK8i3i9JeaLe3tFkCT
IKCvwU3q8dSpwJ5sXfPMs3F9wPOMBy4DlnXiKDocnn9u48iOTv/cxQX7uEZIMEhACIne4OYe0m+7
IJGc6Swpys69SotZV96ZpQ2WNEQIrSmPOEnMxMxBrRM/Lw0r3N9uhL3B0dFPQpwYQPSICUYBDPVv
cPRhKnrXEO7OK3Qi9Tzal0qwZXs0cyDG+zhuSfQAspWzXG/N8m5eO/R/EYQwJF9n7O8qmD8ujobA
yVY6lIemFsDPWBU2/dco3HiQBaMXfuot1Q8CoPztFjH9HPfeBlhiB+SaZSYvvHVtm1J0jZ8Af3gH
Zy17T+fF+zZU0BaqCbQymIiJJ1VfymcrWbBTuMGt8CVAgXj2P0GqgkCRlXvsu6iOMyCxIl83X10H
sL1nbO0YCglW3i8dZFk2HiDq4M167TnHbidd4jhsQ31gTj9T1vmPlpZXfAF1RHfQku/wpbkgmbOz
yJAeyLEqB+QavjMX2LO8QKAchvhXcwFGadDz7zyO4gcXquHdVm7kE4QcfZ/0ClV+oveC3UHURLOy
jOVJTtp9EGCkZAoeEtU9uVT64lL1u0sHIKGL+Ra2A3KnP8f39aVPIGAmT4XDiWbHXlBQt3s7ATQp
+io3SEZCSBjPXkE/lOE6nY2DTsQr8OLVtoaQuYiOJ97es0BBiPYl3juZZu9por27ifc+p6icrfJ4
w/lcd6tIarKgI9p7o3jvkqpqkdlgmvBIe+j36h0RTZFNvBd9abLc3m/Ve+cl9h6M7t3Y6gHe7v0K
LRqwHLRrRlR0ex+Fo/ocUm2+hnzzp6xdLXOfdNTjJYVQTN7ZDf3lcQkiYOEA0s3zUJio/e5V0SRz
MKDlq2VT18Nq8CfYhV5A/582LPcxNofQENMKAmg2diLsB73u1IJ6ZRWOE4la69Z4rrzpFtln48DU
uW38+NzHQ7OkxdQVuRu6+1h3xU3lOtlBHLC4q8iWPdC0zSszIACtSdpGQWIqetCfAXDS56GZzZyU
kvXvIRGZE0PB85arXPKIu/tGF/eLXka2k4zzDYkba0EouOIbNITsEEkTnaOqV49UhOC/XVRfsYi8
N6y6b2nxILQjN2VRTkCAiwPxy/fY4+zOb7ZbNGYijbzAh+ZR+qGXAK+bcGT3cXSqZB/OiY1QoOLs
8E+z4fohimr/gXVkDvIuCMsnwqP2WM61yEs3eWXSsW4B9raq8Q7JpX+IoQI7jKhkbBYCW14g7mFi
zkOn1dXW+02fTgTsKxpw037n09jvBfOEQjK0DxSS0Y9buRRZx+o5DcJNZ6J3cwONGi8+V2AVPrtw
bdp0abrhUFhVHWXTewqnbsDBWdT2UPO1PLVxiC0XREuE5xsil6xNPX9vCiFwfE1+cUQn3MrMjWKt
s4oODfjnCTqTyB+Kx2IW1UtDguJoeSnzomi9dw7ICJACGSdOhvOVrqEdob4kd4AWN0Qlik5dC3et
ROV9Ea02OX7OpsSL23dK1jEFzmv6D/5aYAeULE7mxe56UjNXB+jWcKRt4XxYeW8/z5TIJ68a6ce+
btpT4W9+lXZzj9QEsfDjNtoyG5qAXYfIUlAVcpt34Brypaz4A69I/aH1R4gtVSWoTGK8mSsJt7VG
ExMVN6vafEjqKh/7WtTsxjTdeyEWc5g1AIrochJt1Rg8Qs4KwQOo+gbwjj8VSc1aGz+0UMExyJZB
IpELn0Ssm7a0uPBM/k45DUB1t7Q0OxNVjBqslJBrrfKopS/kwloJ8FcQr4PJGlnIDhNd+Ed9Ybpa
6nlh0skF3adE9m4zZDfzuQS6J08Yck3Ku80Y4uf7OfYdwnQH+YyjcY9CAGxb3c3LBIWtw/+iM2DR
LbSSw3nQW50vS0jOPe0t6uoe0qBkEhugJitqVZ/qOIJWeQWAEWYDWO5rNjHUE/0F03U7vKtC8gzu
OYwTWz4pIZ/lsG8QWoMZ4vKqLzZocWbBD4Z0037X4yEEU3rtKlBEo9eFJ6PWEVa8PyUqEKQ/1xWc
oLBAkoKngBG2W7R/TFM+kHkFSJSfRRlCqH3fq+HGzI+Xi/xHNf+HQv+FCP9/Y7l/T5f/f8hxYy4z
yh9UYf/7sn+luH/97tfbT2xdrB3/80v/cd34+AAQe1RXDEoFAur6f7lu+n8oFini8GhH+JJKDJ75
P7KbYPYXCgX4UIIgAHRDsMz/kd348koIZhNTqIBcw/oNY8n/kPs/LRx8N//9/x99KASs+U/xgkFv
KJt8Bj+g8MP4YlP54Vgbx36EkcENxwrVZVKHzUtrYlTSkNImVTGYQ7fpV4vTJd0ECBAy7lydR9J+
9pNVdnuj2I5Z4ZYwLRb5ce7W+W8V6ttSGbcIA48v/vVZwdX7c0izucAwO1UOx7gpoEmEsDgvIaRM
1krcAHb4GjB3FwHNGkuYI1QEoPuHVf7dO/r9DeBMonhVKAL2d/jDO6KKmHgB7XEsStwA29yc7lYK
0F5FXvUGAriiKJA87NVU9ROKI9zHn2/h7a7eX8H+6TcU6D6UtW+lPWMg6aAb3R+HqVwTQfjTVEG4
27cYG/K/Af2bRw12jdCPVc6/F4pwmV1TQ9mbR422YrTr2vXHtoMxwkLudODWPHd9Iw4COrp0BUKb
9hHKkHlZRMoLv73xHH0Mgc3cNBCxwonBiq9jHS754Kj/jikCphTRd0RdAnSk7VZoDQKVewb0g1IB
z0OcVeBs4D3iptzAWNOH3qs04g8vcu2jz2Mxnv1hjLNA9sVV2Xpx4lGzHsdwq27X4sO2BIjWZnvq
SBweAre4OzeqV8I2JNpZv7ReE2cwgtxtsfhnrpp3bOOf/vzm3uigYDLDlvAh2yURpMpBvK/gDzHC
t9bXJbC6Y8ggG5Nu/VxDswftvU0LSmUaVBCi834Whz9fl+7R//OKoWmLIh4DT72kkZ8v3BjBzSji
+hiPlc5jq+szjzd7otSgrWDjCBngNqfdQKEPXrGhW0hBUx63WFDtaK6r8jDBGJCGcB1ASUFVJgoO
kgwk1lHXhQXHT8HHr15L87/c+34Yvbl3jNnBpyYQ1bvl7o1izZ/A56y8gkyE0DbrQQNel5UyKZvF
O71MXa641Udb2ObOuPg8M3JeVHk1aTEmRROd/01AgTt04U3EUdMB7WaJ8PDQfMXTRJrJ1LHt25/v
+9e1DvYR5lEICeg+SwCnxo9rban0/GHGbS/esNsskBRiX6h/X/QQGZH2kxWwTWj6t/35mxdGAyoi
TDcgPsYO/3zliTbFAqeLPhbzaNJ5EjEqKTv+RdO3M8hvl4VRzNiFOVIwJJyfr4JStWFer/WxWnl7
5NCNXw1F9fKXl3gR6L29TAA3M6WoWQQszz9fpmsGCFJq8K4d1a8FLwYNCFxAktKyMeEBNrnwAGUW
s7V5SzZ11YT6lZQBoAkUb2E7VTh3VpGSYIaNxIZeXm2lf9IjglzVC4XvyZMpa+MnL/LWgx/xOwrR
1RkFYJxBlAVOlmhx8MBe5ICLaR534dF3yG8hcTSVvfDyTuI/G6uQ3KA7hGgY4Da2B/4+6OMY1aHn
YKLAP/XOeSfAYx26Ngk1Fxq8pBImOFA6fnQW6mAK7xbgvfql2eRLWLPHxmzFVWFqkQSsfh3o1J3g
vBRQYLQnzwl/91iIg+7k61AWMUBg5NyecSjXodFJYoL4hpcUulujX6IZMRio8kO/mQ11u3iqEByp
ZxXum8H7JSCMrWaaM2qfIaUV6bJn7xUt2icYzsYk8IY4g+KIpirAxbSog6/EX5GWKVeZXuTLWLo4
Y31P0zLSfSopSOlhV9xMDX03dwuKB7nhIN4iL+e6fiUVHnoubZw1sIBCRGHfDVT9EymcngvTN+Wy
zBA5I3EvkxlzhQMkq91m02bwnrlvRkDUg0gBh8RZCJl+OgVjdUAua48qlC8swHJAqC5Tb8QJrAET
JFAS3YTavK+JeOoBOmIbDjZTRVwdUfwwHCxzkGqGpWnHARTA5kNpNt2jwDgWvH0Z/HE4w5q5uyP1
mAuH1WxWJMuhr6M01tGh7/VrKwaaRP0M/Hu+3hr1qjkcSQ4UUlYGeNBxaYA/stuCIQJjqOky6vM7
VXQUbjmcAQpuuIyCJMgKgziHyNjL1w71FTwUJl1n9eqVHiIWK7vy8jUkHf6V34cfZwWrYFvGLZy3
zZi5onztBGKihVM08SXgYK/qbhwHQlyhG0mB1r2wrtH3Ez6OlUazF78fqT5sdfUCEKo7QZc2XEcF
f/ItvBUDytObqJ5QW+0Lg8rgbowGmyuCw+MSu+uCsPENtOJjoW1iKvkSF6gZw5I9sliLo131C1Cp
OlGIcGKxNS6BO2y476J1EGAEbQ7L0HGl8ZMRKGSq3lf/boEGEUYIe8RHeMcs3O1TALS329ZhsSbg
1cns4fe6xrAkrhBBoALbBNSuADza+TA+z9UNYH8vhxJQpiZG0HZWvlxuHLeLKmZqt0MNouOIsYfQ
jMMN9GkSC9yY1ke+Ng5bjVfmthOiz+WMteMrDCNbz88kgrAhbKiXgPcCy+ZmID8QndSqqIFTFoDL
kcDg/0LC4iH+Bs+B0FX/LnDjh49U98+dwb6KXP3aR7jroq9fLuli4urVOtTRMfCTpK1LXGBEg2w1
ThATrRCzEAuf3YKXiGYA9dCGegrmWJ7MITnFIa1vdBeDV+yRlZCo0FVv5jmk3c3ldBI+otiH7h+9
Z1Bc0ah+Xf2ieKB1d2hQJMGivIE0GFtzCB3NkE+/txrJhFFELtjnEcSp/DCO2MeBh9+dkWtV1OGF
uPA4cP1iUV/t6Wxt8SIqHd1dktIUIr1AXf1cO9ybnKI72kXbqdfhI/qd9igJtgpA5JfVk3UaA7hP
NNwM/3YT1V6wRJLBpohjJ+r43eUJl1W97luil+HjfhTwiD6CKkDe2tfAUHEnG4BLfgs5k1pu4rIO
U1DLCBvoAJKChk3ewc7i1wG5CYf6VZlS58OGUBl8BOMl08UBkkkI2Wa3hsioINZyZJPlfoyhynEe
9m+NnZkv3oa/iiGn0Wosruy+OuANJYR83c1Wtn4W1tiHDk6Lq0smlm4vxKJSZwuUFNjBKLPWLX7i
GiawBH8R4U5ioGQO/zYesQCTnMxBdtN28FQj7zrhgwAJDY6fERkBMYyf388VpnBT4148qyh8JEOR
r5Vaj6yAoUuteJF7hLkN/2VlUKYj0xzmDe9r6RB0g0Di0QZhBdMY1JwzloYJFBT76sKI9CwhKUt4
hayPLgiETIkf7Gd0BZf8q/fsWPQV7N+KABEXHczU0JLk+xk3CFygrBDV4YQNxDd1E0W4a7pbuWpD
VHYphydZ63xaBnXrFXr9AEC4O/EGuxveL5bAXPlyiZXWNi91XL22m3sq/HrFgTH0yTzjVe+nDRyb
OBgttgCM//C4Am3JIniyYPKHbiywg0rgkp2SybT9AaoP+LOiQd4tMBZnAH1Rn4Nyg8UNDiDT4cBb
bX+3Q/XXEtzBOVhaBuVTEyUOEHA2kQ2igGmJ864TRVb3Nki6cVkhX6tC/zSYrXyp4BcdUE4H8gCR
AyDUWI5HweFmxLCE167vnouhtQeHzuqbJ9T2nunaXPst7CGlse9rmK+P6HNkRgtCnjGsQiZbs8Ic
xJnMqokUUKts/glKhEO4oU2au3IvDcwMn18I1I9MjU2XbaVpsEChpda+O8d7A6cq1Mn9NtwxUgUH
Hjhy5YvyZfK0y2pOx3RW0I7QZYMkYvG3623AdoIY5yXe2zxYp1RWEYgLcbwDzwqX6iQ82HQwTQJG
JUh+IdbWNg+Dxk8x9KFLYOwJUKMAz64ahZN3xRub6fBPvaFgs3NoEtK3+uQXxuaUB2cr+mdYRTG1
YjJbMjPoAWfWzYmK2XjEeAAwt3VQ4PI1fszixwIy4beh5kgkIdNhmMIr3c1fSl0u/yjoT06YgVBk
iysqUPfRN8OXvC7Xb5ND8QyBFZIWVJtQPs4q8XqrU0QD3I6qlQmGvcH2HXQQqRZURgmV7OTVFeS0
4+LnM+hdFM8P3qJSb0ACGP3pUMJVkscl1rSsbr1luJYd8m8wLx+Iv1wB5I6TWDYGqdz7x0QIPr5Q
lVNHaK4m72tokXXrnrCz3YLHEpoU+NT8m8FjKmtLpEy/nsYdjvROvaz8XUSPXbt3PpuCKNDfkJbk
JF+J68ShqlA/kQKZpmur9QOzQb+v8JYuGidQ0EbF64KpDSklsf7Y9lNwHWz+80yRKjwyPrcFII5G
9cO3cgOLi5N4yreI26PqUARXrt8Oi0LF5KOHU0ntUSSuPY8HnrqB++e1L5EcfBLa3JtBok5mwF/t
HX0oUNxxhm0aGxQyrU8eGcyECRQo0EQ3iNtuD1E0zMdgWV7EPMVH1c6PVYyIKaA1TLx2RtLEUbDf
5xz7jwTow3GMCNpCnNaJQJk9keoFsuJnH+RSOof+47i5OrGYAZIu1eiuCKm6RPp8ygwvH1q93JiV
fEED2R/8OYQUwafDh8lTn2ucaaWFR4Cu4mqBOQCjKyCBqxfcTYyqKhmFRXW9p9PNgk4BVamyObbm
sITxE5Owba7NDQoM97BxN6AKZLdmQF3jEXFDahmhb4S31FJohTUINkGXfKbVdgBhumPeQ3QXLHX1
4A/EfJY+3n2LMjknip91gAiDR9Q7QVLaocDCO4W5Fe8Z3zz72LF2gNVeLk/gQ2BfHBBudAevZLmm
i1IVnHTIawWGAuSqr9ydB3nuLm/Yk3SDbmWeDWrv0W54WNSYFCqsYyvrpAd/etIlORb+NJ6JqF9b
r3qFTPp5GHAOjS2QZ4b7vJzo1qEJ28sdsMwmLREmd0UQostDTYDmmuY1W73cww0nwX5mtmunGyje
2ePmABBxWEezqRyeO/hTUmD5y31psKVo6GOxW9se7bQWVyuQSShXtbtXkVXv+mmGntMnuVf6c+p4
heoOHX1+OeUG27U3oBJQRsGkm4G7BTNmcBlNEcOuYtuXBgbv74N04MU4fiAWU5iKbirTyUM0ibUo
voKKw68MzSvIGP+lKeb2BlLbl0v0o9/MLcd0GzSrrwAh8FQ6ehc7ecSHhh7bEsfkWODkqo33zw5U
hcGGiR6lmG/DHiuyqv0MLBGfU0fndEQNhaRQmsdBtNATWQFxNvFqsE2gUSXSGMBIlTe7X1WF9sqb
IB+cjbleKfSeQY/LrxpzJmo4IBPp0Xs9gD6bAr4kXrWQTFRApRDtOOImLNHcBo+Xs1c47NMqKJ7+
3PjvGMXbtj/yOeEMeml8ofoNUjbRyTdVt6gjDD4ehLH6NbB4aD46mw9h8ChLxN+fLxn+DtGIML7L
J5DSQj7/hryd65nPkEupo9eiz1UMGHFo7XNvgEPW4EAPm0cUXhwCy256O1S0mZDdzMew/xT35smP
JTywFXrrvbKZuO+Bk+VPai4ffOogZGi4d6J6gAEDM0dSs8wPUeNhalFsUXPb8sMFO720ZRCZf5e2
qV4jZzFCxkaPRG1ttnhQT9JoBU9sXHPjPIIact7rYAyCSi1D2ho4LD6eDVHueT4sMXvfNxEWv5vi
77VXDNct2H+oPvfCswLrHKHNzsIyLs6KkL/qRn4FxUFCMHATGOEIIOKt8bPWGBtRXnzdI9rYmC/F
1TgBBIko6rxGhR/lJdeDOkjVhB0OZ5b4y7L+BofD1wMA7OEzKCBd3sKHLI4x/4eq6VjzMUhGulWn
cUBpVkX9Lg6ph7SKZj8FUcj+gpD9YhHcx4DBJhgHGAQWUMBXP2NXSCZkkkrA1QYuOglxjmQ1Zrq8
kwsmicBegNEnfl3kYGo70Lz1Qzc383th6HFljjz/Obp/xexhLKIQK4Ke8EH5vbkXcLA+2s1iOo4F
i3Pdr7Atg0/Oie6e3DjMCUbcLFm7DPoky7k5/fnqv9la+6xCsn+n5kJl/fwmGjwhs5AgHHvwypkC
oJNCMjn+hQT6TdIAygyJI4am/YamwmkKYQZqieNGZJBOsP9kQ+2+eOt4Nwr9ebVa/uWK5HcPxjCD
Dt8QuZiMd/D6B0S/b4cSZUljj6Wsx+vCAjCXNhjO2J+Acpb4qcLxmRgIxRIalS+N0yvMXQTi+xIW
QT3L75v++Od3/VaqtUcdeESYXfcptr+kTuPpQQrfIOBV/aUz4frPv8WvqlHjYSwcJgP/iQ3aWcY3
qRqzkfCxG6D+GG+CxvznVzBR7kVFq8ZjLPndQKnIWi9s866AP8pH1ZyQOfoa6PqD8ZszXP4fBhl5
ySyX24mq7zZeMGIslNvtn29rZ2V/uS3Ie0OEOvYZviz2820xDItYS0gxj42YgdNoFM9Rj30/+S2O
TErP0P/cVADJPjFrzGHssEQeBpVgnkH3TAbMMhpQxyXaUMgwu3ZFkcHuYKsbEggAv8F1GlrfZVuA
EsTyMxsZNDX1K4SRBjLQqcb4jjKHJLyGQqOs4N4Et7SzjgojQGBP1HBl7OKtEcLXFFpoTGgp2ib1
C8z5mHcoa6ftLqdMvfnD+c/vhv76bnYmOdw/7i1gyX/L5woyO4vG0BzLAu3CGsICwC3Mo3ppgItB
TJKuFYM83jYwQ82zf3lMQKtpoPsOBSEHVFvg2Nkwwu/K+JOXhz5Yonmvmzdo1w9jU263gCRUAsEu
TUrMlvtLWv9FaoXqAJ/0obvJDbMMQn9/xh92HrAMJN0BxSaK0hGalNjLgKktScuH54mGXVJFzQ2c
p0NOat4nnpYHGKfNX27j1+DnGASJ8MJUA9/nwZsog5CfmZmX/RGTAq6gRwFqg0iQ7Rz95UL010wD
6pBgoD4YXvjaYV//6XnBghQ91cocC4zDqGsUIQSaHMzHsu2r3kYgHByolNzR5d5NXdKqATcziTUt
mhkzn0z1QtHCSwx6ueEN+j2FFhDvV+Xd3jO2aN6Bb9/AGgPgFLbUk1egd/lz4P1u0UDggQANuR+G
vzDHLTpXSrbKHCH3JRmmKkkMlnEmbUZUndAmwhOzTN/3fmlVgJ/gz3ldm/gvGevXBMkhiwCfiE/a
Br+qGWAzH7khxBz9oPuHYcxliteAi+kB5uj1b1ejv9ZAnDPCMccAAgqfx29P3o7Y2I+oAX+5lAdl
ujXbacltpGUqSBkCwEVBvVmQHBTDke6brXvuXKduowbFfeCXLyYmK2aQ9bAhofHGZCyotAK4biHQ
HOdbCJXv/7xMv56juGNMUEB1GiGjvxUSDDBPNhiqZY7cW+WxG43NIGNV+eSjfwKM6mezr/9CWv6m
+sbVEBGYSuIjbb/dSTDOYSBTTzEIqQaw2XfQ3yfW0ZsaXsBT1VjgqWXboKOdziPgqWt8MerxghkC
b/dyGIn9TLaAEAoQRZlVmAaKACBXgFbIoUdpaRhazArDqzIW2me6oZu4YCItQeNEQT8fLN+zmQyB
1+70SwBXK8Y0lojODvNfAoiUj6Uaq1QW7IPu6QaNPUg9Q6I42UA6HCq+V9bFIo6wtkMYiC7OLcBJ
LtxGpwM/Aef2be+EI2lxOeeDoSi+MEiLU2PG5bBtCMM/L+Vv00aE2bGQV1KovfbPof6YJk28yWoI
kDbK1VYPCgNwcoJe4kBDTG0FsNzhDESTKwV9AWwONDvEQrdLH2fLRGFeiIbliq/AiC65voHh+ixX
aYCZjhjUZy39fKE2A0MEND/NcNWA7r6raizCn5/k1wI2/r/MnVtznEi2Rn8RE1wTeDkPVVRRulqS
Zcn2C2G3be53SC6//iw00z0SbknRPJw4DxPRY3dTkJA7M/f+9vqIr2xeUZwsPgmreN+EJiVYgLd+
YbMY9+NQeLm9TAkzkhdh4+Z715nzL6YT2J5hy/SdNXMhAa/2Ew6tPRaKRw6HmrbW97jOmLoDrUu+
mlFFK/VmvNFS8v1ORibcqF3zoaisfE+LUXpGC6TqpSYrJB0MFUGZf7LSovZ61c69cOYzZe2iomRT
ABKT+VXV+vN0Kj9D64v3T/UHUhuaQp4vGJNDFETNZ6taqgEWSfaEpKSv5kuOb1zSuXMV3zb1YD6o
meVVqnvZSASclpit47RoXvLQ/cX/KHrQbfbTpH3GLxwENimdYPu3X9Lf7CwA1YEsxhKJsw94lJef
m6RWVyRDVPo1RYqnAkEOydUzNCpCVcw0nLsM5F2K6FFN1d0M44tW2AeKB9XZUxkGOTfCqcY19qzW
t9kS32pxbyYAcYOu+lJQ0ffCiVqEDdnRf/vuf497ji7YUTDvF8e59Rmp75SqzUm8+DQF+FpAfXEJ
FelEOvIpG5UF+TtR77fNMzb2xAGINEuTBwv7ckvPdjGRRvttk5LnILVd0Yzc2ehXWY6fajHt0+vt
KQpJ4gtKDkQj/VIGlF3t7Ixy7A9N3aQHCzHLDqnGe8FjvVA+3RyNHwbzbVENLX//7ObERJO4khap
H0foCLqGe6BbiyoA5bJsGZW3h/9vfm6Z4iiVDI3DxG/LTlpZLYXI1B+s5au188tJYUNltnw7nB3f
20E6612wTYwjoiwNLZRGODm+fLyokVQbmzjyoyiyLl26s4iFje2Npnuk1EQb0ZCyI6HpgTWDbegp
BpN40jSluDZL034czNy9SWR/Ekb/oRX0PteiAyAzyPowMEc9Uh3tReZUhe8OICKqrogvCyOBYChz
qptQT45gGUnGS5pzqV3f0k2anCV9oR3LpK09pdRzL6GfG6QxYW5P+9zgmaGV7AHfybMxGI5kJOtD
E9amn+uhcY6WQ6Gikn5oJ9Wkb9o2fFs3GEOtiS9FrSRekKQhWn9LP87QMLyscByvj/iLSFe+a4va
Thvq/nZio3akmyChw52TWlBKSdqQxtmePfe8i6lTe0WaG+cIVC10YKmbeCKvi2NRmfF5nzSQF3Kz
AC+hBAa9JrVzgrYQX4KcAcSgfKw680MYxbqnkB2+cIQyk4uZta/94BrI51PrnYlmrDfqNmYVGkos
nQMxMrzFfuf5t0x/f+MqGas8CgpIHMu5hw5fHqJVqWyzl6KZXf1Q1XXhB9VAi/s8mQe9Wl4gXV8e
fUCC+kXPvt5u7MSLs+iPTE+Mo4P0EK4FDQMWH9BhUpzEcwiQnlk0xZEigrlfshJHx5iVe4Aa5qW7
XD4puw9dpN9bNmqTYRQoSSxAAz0dBSc9aZ13sj/rxQvZHxOKGcw+hkCjrj51IqcGkiF1jlEz+w3k
OVJE78zedfB8+gkbhSE2nkKDtPVygDmFWSQCQgfBQFLBoyUXKhvJMaOio7DtjJqxAevxdshYbwr4
UWKnyeaG8wRhYxWhQsURiYga+1iXdn2g+NXsqxmYjgxTDcEAJT3FsNqzkjbpvdml7TtpLW29t4dO
uWyQdTbwJDfJuLx86AlIoUzy0j72olKoyyctb9uYPZCs/GBguWeV2zk+0e6etEPqg6mQn94egicF
3PNU+dM9kK/WOcsg+l0E4s+/bKZNY+uNIo6JSBVPTnV7osuj4SCutvOukTGsoVxtv9EXGlwzkOZ1
OaI6LTrd+aik9uxF0m727WAmxz6fnc9qqzOUdcvuLqqOeRo1dwOIyjOrsXmcLrIva5hhl3Y11A96
iCoB5oEW+4Pb3Rh2WO0iqWTvbL4snWd48YxsYE0Mx4EIkkVmbX75jFPcCbNmCT32zKrLwWjGo1qF
2t6VpTx/egi3j7IbdQjtyzbiLyg8BnsXxr6XaWhHZrZgnkEuYm9EQXhyw8jx7DJRmNdqewaG4VeF
FuOkSIGEzJGzF4fGbarnxqFqYnk+09lyouO5WVqLHF+MtqSq3R4gxiSoOUR9yEQ3o/ChW1qWhXLM
K332msDahTD8j2lTt9cj/+WxEhKJRRTeTYql7EUwZDfTXD3MTWIQhPpza4BDNpuAMcI6kld6bHef
YbP9ePuT+a2b02Y4yYijqbRJBRvrs1ZFhyU9fwg04HGTO+mVZm8n8hICxcc8N4O90Zvace5Afsdi
CvY6Ga99YlXOKXWypQ2Q7BW2Ddo+c5lmSSGjizoNYV5PiU152Z0vuIq4lLQKUhE2ixOJpH7HoAs/
VeUfc1K5F5zyVPAVSPasrjWPtV4XiPr0Zq+I8gGSan+Uo3Kfk5D20hnK79sj8NtWYzkQafjjLC6E
7OpXcWMa44hCGwMgM+sXknnnZnnhTV8l+0EL5Tu5yMX4e/350pCEzIp0pO5CD335+eY9CRe1B3/V
ownyEoqpn1FHRRcVnJC9Oufj0VCD5DoSXXShOw2ztmEPoQ3a7I2yZhvqDMGe+tSjdIPLIRRXwUzn
sYZUZRTnU5iUXj3xccoE3Sb/7r5iY+MpLoPbwI/w9IFPkr3nr7Kt51u9RJGm1bP8qZVle+oNXmTF
yeYyaVVxSEMjPEbouj8BO2ruqFoDlQVzeFvF8bw3dcQGEGnI0wAuOwDFkFcoktwzyoq3HU0eJ/ri
+fxnt7/KRWFfNrQIXA0qsaWt0vQIIC7wqMEtrLtcfrImEMCtJFYqEYSVvaXbybGsuwWfriTXuloC
/G4K9asR2ODPwVkXl1FUKke3ycmdyhCWDAO5AwEjDhEJDbZRJMnmf/618JGQUFhE1Uuof/n6WiGy
FJyHODoNypLEYvyayiLClmbp2VaZvHOKMn9bS2HWkQshqYn/skky/+UPJnE3CZ7DOgI07j84dNB8
1ceBEi3TKmB/5+iHvnQ6vxtG5WgouYJMrI4utKRzTpMJmDeJAno4szL/BJoE8VHMopDOrQWwFjDZ
UR8qwqZg8Bukm57aEMGmjufQYieB1OzQtd30/jhBi9J08+Mgjc+mokFzcu2PQRT/4CROvxylzIu8
U+xTiKToKixi56bjtAO8DSYYZiQki+i/9/JhBLJA5so3KUgfKZsThnG2OYwuLIR/OrEp8aFIZ4vF
Qd1an9JFWqAMnkvrmOU5G5CK30M2556hOXJO0WzV7/ye9vvGkmMbbfGceJGp27a7CiUO8rZaB3lw
RMdkHOIJZahGn85lnFOIKujBvIDkGx/CVhyrsm9OTcsLEWltHMqc4bWHglLAAJwAHl+yd3sWKpq2
A08tzQZRgtb5Vc2jxKJs7nLIIDurWBZ3KwAFSN/2DUYb3wCGa/uwsAIU18xXoWXf0C/CFBSoQpMy
VryQ3OR96bDYzcK5ymBZHaky/ILCX3rzYP1K7eybHnHvitqNx8kJ5gvyWvpB60cSK2Vz386ECU0h
8j8trVXKVqtxwugzijID+yEE9xoiXzQiBCIX/oIfMXsvyihTL4YOykYpltUUByFaPNmXpDHrTJ/D
ZlOXMDfphN4m73HVmPmCUkmImGs+0LRp2hOqeNaelA+7Tav6IY5T5ci4ARtouKHKBk9DxmX2XCWi
CjDV43/+NiNUxFOvHBtb4TS/dHniZjTU+5E6/25aVt0k0tszM05t4gyRNtYG9gPdODOIY3sWdapz
BQcN36KM/+t2oXNqbYJbEfGvqEBlvCIAZtqWiL/RfHd+E7bNdayhIiq6oGTm8ZgK3J1rCUzRq6TW
HvqpFD49Su6ZjqHJAdcXx89m8UlM9h85el2oXaZ+RmCTl/TUGAeCP1+xNTm+rDO2LPFCx1siJdDz
BQgEgUlRmGeVy04nyhl/2Awdh3Zex9Ps+kctnX/frPmcR/w/r3Z9/j9s6dSA73AsJAL/VfT8rafz
/k+zyJew4n//Z/9p4MT8jWafJfg8Ffxt668GTu1fnIbILjBdxIIr5mD0J63Y/JdlCSxI2bWbjjAW
XMCftGIdB0a83MlRO/rSMeb8kwZOlozVDmRpIaU3kS2yoD7uqqtDQlWkijKZWn8yA3Pa92Cddsrg
nHIJIAuV9WcOFuFOQpPZg1aY/Lnsfo66/kjy4XNuZ+pdUBPSrXr40YFSQ0Ob94duFL2nKJpCnbAu
PqaV2l4sAhoo7hOsdr50ZnByy8GILADS+1OxiN/DsLpGHsqRMJ4iehqsz/gS1PSyT3elqf7Mq+xG
m8gbZCEUqoIOE0SLyg/AVHBlqSRiS1N/ZXsSkt8E80gbInhfuun41VB+jdvsRPS/JCrgQNYNCERz
Ed6EQGo9elGUg1pPsNiMpLhE/W9cdIk5n1dKhR9XEZBqqmwzX9Kk00PghvdqnH4byLym9D5k5Nwm
SppsKQ9YvgReRyzfR/1EJ6du9ne0gEBUT83LirhxpqdWf5yDqfTgaEIZqDX2mpACpnGge1brf2m9
e91OoThojWHfLif2vVtF9Im2qT+hISbfVRdXdlLSnjO2wXeDUHgSJKfO6e+voNCTBi4hR51Bca/O
aSoU3zsxfW1GN0JmNNeLuKhdmDX8U2FU33vhKlcBOpczWvbFLoZ44M2ZZV7NKfB1Ky9/Jlo3+Ipb
2x8aNSH/FbLb6BMNGJBaOvuU+v8hjZDPDm7dnNf5qN857fwD7D75arJkHwZayj8b5fTZdKoI4eAE
x8dN6J1p1UuzTnu8SjDZmCcl3eN29isunPRkl+5Xt0MSLCT/OpnhKToOGlwCmavn+AXwAeA1cVKh
Z1/EdnYPlu3e7trk3FE7IMXhGN+3Aa0gqU3NouUIQq44zO4gJDh7DbgVR2DXOAxx1O67yvxkG4ht
7FCxrvqkfuR7dX+OatEdMGHLr2e9bLy8w0RPVu09hjMoN8aDKPE7gKf0kMxUhKQqXb8tgMpwqvmS
FaN6Srr2TrOqEUqqXe0wUWiPOZCmBzXENMkSzh2mV/doSm8KA+aFxXzfywgkdSuxNdq5ko7XcWzD
gCqeXjd+ThnwrAhidvaIhKsbU4yA8SxF8aImzT5gqZZB0wiHszzWqiPIy+ZD2LXyPAjNmF0YiZ0s
ighnbuvPXXW1yIvwoMkaoA9Fmdy1ien4egUcDAuZBy1sx4/ARsPzgV0vCM4Q+qQpECHjhZfGMn/I
kjTe86rkYbAmiXFK0qGb7ZXgCzzgxdxEry/pLIROPg0CLpVEJbLTgJR7fdD8LKum8HBViuhomd1r
QSXgNoTL6lUjijpYC1iRtOKcrlXjA/wMCnaBxXrmDvHtoGUR2XD4Hmoyc3ZUxPwHDh2nuAOXLAa7
POGE0aW7atZug7RDba/gIjgBUjnSqYOiuA3svRRh5KXd4KCPqyDn6JFVQLPIcqifiio8d1D6x6l1
xac+7O1T7UzBI/oUVlOVxdWSsOFiE7gc8oHporat+BONEPUlVFdh7DDw0++yWVOu0RrPiEyy5BFS
xaMaNd2xFBPwyBAwZjveVJ3Uf8pKk4vua/CUuGX7w/6XTP9YzueYs1AqbKvvsdUPP6XR5h/syhiA
14rh1HVORh4JirpiZ+lRm8NHx8yqaxrxLpCKADiF6hjSm4TmU93nwDkXx6GLUdJOvAN3l3j54gYG
LcS+MLM8uRnmoLoMtC75AMlD25dqf9mLWMLX7upHqK/YQ1LEu4Zk1++jCTE2bm0oYtuJ4Uzm5JN0
uY1smOa7IJpvRwtjOB34k1dOQ3wGWe6WdUhBWhPQcaBa4fcGRe5Jy5T7cKzVw2wUNNroRfehTB2L
POkce7ReAvDR48sR0jO2gGZ5ayUQ0/LY7GlrshV6jm19h8oq4JSjTeQf6P4/I3/Se8DQLC+IndwH
d9qgh4SIR5+BTd8vymJpG0Th2PqJirvwXJFpezwFbvNG/BHrDrqIhH5E8FUksNSKnatMBjIf7XyQ
fUB4CUj7lkXwgEqAVXG5B05ksGBjmpbKztUfHclszixdHBDDuFdopel01OVSvEiNcPiu0PWIER8p
jHu9cn5ZGDLlQ0/0pSNriCA46s4HSbJrB+rcUEj0YyapDxGZDycFxK0kdzZKsStbFclDhYznUOv0
y7tz9JAXwreUIfMEa0IBlsf9Qu0YMYhb/ShHPijRZveyhu+UjBOqvky9nuV8lbv1BPRdJJ/ooEMA
pSjuvlneNI5OwdHA4hGvSEJPB1W30GckrOVXaesBgzob0SHDFAjvOVqGqGXG5/QW3lAYaq4cNaSk
Rzk+1oSxnwKJjwosWQBGCC6buSjQbNvGqZVpc092ofPmFsGMgEd+Msbym6oQhRCD4usUHERnfZ8K
/TSY1o+8L+BFdFpBUdX6dwrs/2wn+2K/+//PpeOPsi+6Zrr7GSJN+9N3euGO0B751k73rPgRf/vt
3//PFnfx40CQvUjqQAmwaf1ziyucf+G4QSs4B2GcVzlK/rXFNex/kVhatrj/zpAvYJP/MkqQKrJb
Rs1kagjR/pEhx8sUG0ZFSykPPh377ufZb5rg8CaLXSBUaNStD6yFz57/5t855ufsk9euu/z5s9on
CCTJJBrtQ2dFrEXzPE2PkS7Gd7RIr11+neGxlXQi52YfIiq4JNjFrIbEyLn89fbtv0x0/ndYloT6
89vPZ+BYaSAOSCRbeuG13FV3kcHmc4frMaatplF3wfHtH3vtYVaHi5Z3nyDOEYexNTA8RAcVAlaf
hPP17eu/TIv992FWClPbrVU64Cdx6ClQXmkahdePg5qo4nJyumL0FXsWDV3YdXX39g++8kBryVbl
qJW0lx9EsGOP52XUB/3epPE+fid9tGQO/1vX+OuJ1tVIJ54HtesN60BzlD2cC4wH9H2Vtnp0CaY0
0a80oNAp4FGouqTUQWzRcFREsnmngPXKA4rViLIhFNo0YnHaKNXgh2T6qTgYTvjj7fFb1cf++3yr
hHeFfiy12sk64KQo6z0rnY9G7ldFUwUeGHU4LL0lk63QIx3SjIzDdIlMWgkd/T2FxStP6KzSclk4
5eT2B0YYwcreaMpftjXE24ZvzXEpCQQ4iHXWgbqY/Vktp5K9b5+8I8N77daXP382dzOHdq/WaEAv
GnH8Uy3b8rJQ4rR/L8v8yre3Cj2lMkCUAz+HNYgtH6j2c5wJZntbYHNWgafJhqSqdCDtXUnC66CO
imw8UZWlvfH2V8FGB3/vTFlCsClNimWTECPw6ZqZ6r398b4SOtdtQEgtAMVjM+jnWVsHd3YO5vIB
kwxXxQMhcu1bbN4N8U6F87V3vZqIegIxB4GlAkppssUN/iVR9wC0Ufn19sO8cn17Xbpw1F4dRhKM
c6nlhykE4QGJMG2bd97Gssz+TSCzyWA9/1ZdtBFZr0+BX2LWmyOboY35wPlAi6GeR+Z7RNzXfmYV
TwwTAsZQKbbfdb3enQpRFpwmCi0bDxXJjHHbvLZXQaOGlhgYY+74aO3m+7SZwGIikb1/+1289hDL
nz+b14iJHG1gC+XrCu4OEGhs4zI04Wg9ppaTvtd79dobX/782a9ETliljl05fpOZ05mSz+oHN9TA
5rz9EK9dfh09gnhSGRzh93ZNI6SajOYXMZfVYdvlV+Gjl3ZpU4ETvsx4Ax10x4PZK6RWtl1+FTz6
2CgmCjZUojiN8A4mZ1RoyZ7i90qGrw3Paj6nrmLhwc7ouxi6F2fIbgoQZ4k9DzebnmBdi7T1yWg1
ZRS+20boJumvv8F+oJ62DZBYTTSUviSRUe/7lWF22K/PxuhCiskHddsUE6spNsbopTq9sf20DSvz
DNsF6aBAMJv31uYl8vxNRBKrWUY1PFTpS3b8OpiqxktCkGw3uTJLcR5i/ELiKdSn4nOWO8bXvgiH
4p1I/tqeZy19zcYwAGo/EAozJ6vOI4UcFAcHdIQ0+5NwRW9ddAlK4DgSVY4RyxzanjAHo/wo1Q6D
lW0fyGqC4iELxT9VAp9u094z4sH2HZsm/bevvurk+GtnJ1YT1JIdZhN67fqGOjclGBvIWwcseWac
qukEnT6EbV6CtjaHHMm8Q5f3SOGkuNJtx0k+OykSiXdu5ZWptm5icgoUKcCVTb+yg9bYi9n9WY0j
xb23n/SVy1urlbPXGsgzSYjmH6rcF4vl57pVlXxbnLOWr/dZlK5B1CaKYqMDpxOfkjuk5hmaSzO9
J1F7ZRqsC+FtXE+WPjaO301DoJ/BGGzU72OlMSUindLsrgAdk9OuL6rwjyqnG2XjuK0mONT8jLcM
JV4AfkIkUOttvpvwl9kYYq3VBJ9NbHh6ge8b0F3tICaam2ZRKt621758Ds9ejAhctUhwnPDbPqSR
tLCTnWiq5J0g8dpHtZqcsEIiZWQv6Sc6rjx6pyHIncr3kImvXX01NzmWYM0Wl7Ovc27cqZH2WISI
CLYNzGrp1MBum2BaZj+0p+6qnwqV9bMGG73x+quVM0r6rjKaafahzlMZlyMJQQMd/qa7X0v7adKz
qg7SEZxIHcGtgRqADrT32oFfGXhzNZsdkqWOpBnFVzo92qcGrBng+ua2QPekFnr2SSaq0qhDsHgY
a3F2pLUoBFVizse3R2aZNn+zXpqr+VoEVjRTxsAQRbF+ci5M5RGlLJr1bqC48PZvvDY+qylrAFYo
AKFhRMTERVNWJgfNLNNt5+Wnzp1n44MxqmEOsxj80rTEGS2fvZdMxcZw89Rn/OzqWocK3pmT3g/b
zLyIs9y+qsZs462vZiwraZACxaIvvkwCbd9YoJXsaEzfM+B+beBXk9YKwhZ9MHkY2EzjeQqq9xIM
cbZxUq2mLPlRRcJv78AphUOLV4DqZB+sxhHRtu/GWK3BqRbLOpR4pI0hrHj6Q75M7lS88+G/MjbG
atKig0uRkQXyUGcRViRtr+9q1+033vpqI21UiakHCZXTqlC+NDobsMJFNrBpPj3pe599k0jqG0Vp
xX9u3dRrhBFSbL319Wy1HNilkSYPkA8XaiJXb7cPzPI6nt+7Kqsga7n6mCBWAIMETEjoycZhXy2w
ERr5km4mrm7qP+vYzI5hHG5MPRmr2YqpXObEsIKowfW5n2E6xdFIjNv2BksR5fnA0JFvB9mUYnnR
BcNu1CQV3Aqy8rZPZjVXc7h+RWmo/QEqFly/KP7ZJ7O2bdTXkN52brqqjIb+QLeAuaMJ9YsiW33j
xVfzVMVA2JgiBe53rRbAzOJvLWbrGy++mqZ1644JO+EeqST9XiLBCKeH8bjx6qu1FcGJEsaKy627
vXbVUh65Ceww21ai0lfzdOxNvUC23IM7aRBBz4UjLIypFOc9rsorEXLdIKfXo5v3VSj9ycyxlleM
yvKrQe/+2PRJPvWSPosEGuyfBn0NKyt2H+du0mrIO4E2bru6/nI69Tj+GOFk9X7nGl+1RL9tTeN2
26XXM7XFkWqaoNnEkXJNePwy6fbG/NoTTeDZoLhxnNtaAUCPLtqlM8+6L8ECbwsC2mo9BdKiNK7T
974Sd7B/E/vS1rHS2zQq2mqeUhYekLsAKsYy70c8aY+wVC+2XXo1S514QLWVKJPPZdtuB8oywqCn
NcJtoXfdRiZDq49Ss+nA/rrqZ7MjDqBPnLVtO42nJuBn77SvM13NgrL3MR+avXK0v0c0UG4c9tV6
GjhxbcsYtb41Nfhv5hW3nr5XeX0lAqwbEdxC0E2ggDcqG8z0nDbUrjIlqB63vdbVFNVx+266JuZz
pMN9Z+TDZxiHG1/pao7OZumifQP71VgSTZozflm6fLbd92otNQfMI2KDaytJe2/20xWSn3dahl4Z
8HVDYYknb9ihkTlAAlL2ShJcAiDfmB9Yt2iCPKnsWdHB0qkuRuQ2XsBTti20qKspqkTs0xtMjv0s
Km7BmR5xCd8WydXVKmpWAzw0kt6HcsZzfdAvTGvbCrqmDFYTZL0S1Zov8vDSKUe/wP5j0zey7riN
s26M+p6brvJPs+yx3X3YdmHj5boGdB90cMpLNKP0O4LfW2cW2+KUupqPfY0fL0LODglyot3PU6f7
SW+8B/J47dNezUijCBbyr9v5yMDB0xfpyQ3cz9sGZTUj0yxuLexj4FDF7G4Rd35bPCs2RVgkgi9H
nA8b/qTKkhzFYGOtFqts18XQcMutY3Hx8upOK+3OtCSQS/GxKTGD2baToDnp5YUj7I/MOpo6n4bW
fDcY7QJRFvfb7no1JwcK5BMw9/agRdVpyCi+QxDtvG0XX21sm75XUyXj4k5m3Rh99UdsTs3Gl7l8
nc/WYte0JhUIYXtocuPG4tpjL7deezU1tSG2DciNpI11Q73sYcuf1+YoNo7KanZCEpAZ+1k+FDqO
d7OafMpEtGmDBSny5aiMtJ0NqcvMH40JKp1qBqL0dHZA8abQAhrm5Q9UA23F6I3gJJrVN2WQjxQf
Pm36WtZiLUnLeCMMxqXvQ8ur+zSmX1a3N+0jSAi9vPEmkjb5aBoYw3G8wUXinIbcjTPUWc3QJIcK
Y0cQy53UuMoQHB7gLOrbRnwtgIKGjOayl52vVtmtqWT7pIk2bVLoWViNiaUUU2jkra9DttgPuQav
2kx+bXudqwlKJyP4i7xrUQCIL3QonMe29XHbpVfzc2y6IHV0pfEnDQgR/of1sciTbdIFc618Kq2h
gNLC1SkhzV4xl9e2gTnktltfTdC+0oGeaUPjl+hTsh3QfOVCkep0t+3yq+k5KAZR0ex5o3L60bKD
G1vn+6ZLrxVIHQtPVNGk7acivBur6kzN823f4Vp8JAMnFUlmNv4s6+gghxCcTFb8se2+V5Mzns2g
bUawpm6Et445XefOe9vOZZ78XnKBJ/Zy/mC5okM9t7FTpN2TJgdbJFc1xNjdkOj9tN92/6tJikR/
LNLSanzAxl+zyHxUqvR+26VXU3REkpgJrLiY/7I9ybbRYLya20p1pr2apSFtOnFj6Ny4qT3mEga+
qVQP2+58vYaOdZU2atT6+HyYA/0o/WTuCieL0m2LtL2apxj4hU5Pw5U/j+Cccv0+rredxX/j7Gax
VXNgXgwmJ/e2U+MPgSE2laF+Az5mdD7ltZwaDGFyHfqZ3t1q4RC/w2BaPou/+dzXgkrdlqolY75E
QNdL13XtG+ZGRZe5FizlY6B0Yxs1fiGBEqoSFNAQbssO0/XwcqJ2jdn3psuQEx4vMK6/yKxx2xxa
y5TcIczoQsSv1A4g6NjzdOGCItu2WqylSPRUNvB4U6yWS3ljaPVlo3Yb73s1O5uY6oQYlBojDecx
1prbLK03HeKgKr0c7WA08zSsMIgWjMzORSW+q6G/bouHa7lQZyTgz0q3pm4T1Xtc5m57xd22BV3L
6VWVc1ZhqTUUcIOWr4FEBbBURWwbmLUUKcFwe5bJxLxxp3zv9ELcZbE6b3ujaymSTCwRIIar/RmA
wV5rzWtW0m3Vc3MtQ8LhEL/EEavYtnRNNSXW4iYY7RxXpptyOFT4X3416GdxJhoLxj6MBntfkDzz
g8Cst9URzLXcaEr73mnyoPIdpU1rzEWq/Ffv2sPGQ+MTF/fZgVSDDGQOrlItWLbWwy0BRjheksdN
C561mq62PY6OKiF995nQ96pA+E3H4cb4+ITtenbvXUYXSWsUld+adtjttFlPv6XTWITb4pi1Wk1H
bG0aEDeVX0YJPjxd/mnMtG1rnrXa8mZ6OeSK3TPuBYDFqVXb45CV0WnTuK/1RtKQxlRlQ+Un9DQ/
qiXQMcxrqnTbwKwFR9i5VZY+8VrdIqhbfAsdmtKtoKQJe9v9r3a/FOPSsqhAQJdGO5w1jfMpqrNt
uXkARy+nrJ3mOiLgBr602X2Mw/Z2SLuP2+57tesNgwk/k4z2Uvw2vxbloO0ik570bRdfNjjPPvea
lLmj4H7j42DlfAX1MZ76NJcbP5nVVO3og51mwyp9Zqq7oykbaD0A1MO2e9df3nsz4T5WZVzdkjAr
LKgRafGeiunJ6uFvdnhrnlwdj8jrHNjdUqRhAJu8SAg2djym+zB3w/SUV9Pwsc/bbDFKUITfRVFt
3dPiZtc3pmu1zUfXzsUppS5ZnrBVg5BgZzHJeNrGHXXYzWZSN5+GWlf6vTrVRfqtjCKl3gs2lrqn
WeTasQXvxx7cH1myvaBKPZ71NTROX7fHyDzD6XCY9ppKNuGzgrJ3OoIBaRdU9Mg1hwyywBFYR9TS
bafP/THH5mn2FkxD8XW0sW++AY2gJN9bzapr35l1V/rNyPN6VTfDBFGl5ewLW9fSPRyfsD+FGlz9
S+EUNG6p9ax/xD1j2EldNGdVjAONr5auMx0HCJKmJxuwrgdpDyYp7CyCCRrir4wnp3QB+DtNbEAy
KeNGuxiKIHHPMkPrTH9mtIe9ZaTybJ6V/LoppGp6piohtCZBE8wfMy0p7W27kLX6pS7iDn27W/ou
yTYARMklTsrbulbMtfhF5dGAY1SlP2GBmnulOiQ+xIB44+7PXEX7fDR7kfZG6QsrKklZKTtwue9Z
DS3z/28+/7VMzTCDiV1whquByH8GZvoxsOONg+68nLaSMtKIjxDTtg98TGzOA0vbltk0ViHekshq
NNJfvu4Cww3wl9y5mVZui5VriRpmqYbAUQruvJ5gNZXWv0TSbNuxPiHZnsVhfLpcWdhq6YPfqa5p
/4pP2Av9M8+iPzscoGO+HPJIxGpf6KL1w4XnY7L5pq+g775sisNrR6wmD6WUGHD6qRP2D41Tz1Qi
CqfbOOyr71wrYm1WDF6qCHNrPOht0c87W4ES7W26/7XUq8trnEKjrvQpVP0aKvPcUtptLRfmgsN6
vr5WGLzKerJL0HEuOrKutcdsb7iJ/mvbva++eGnVsyF7nDiyGkDdzi5rgxq7o+vbtBimvtrYDFWR
aeoYskEAZ7vr7SE5xHG8cYOw1ntVuKclc8gSTo0Gxl6viX2lDKq/bXBWn/2g0sts4aBBJ2qWnQtD
Wh0O5o3Ypu8312qvNgGjHpQlkazowVgVhvqVM+20LRWsr7Y39pjXc96yXyWVNZ4FJkZnttrZGz/6
1TlEN7LejZcAn8R5CCoZ/Fjf5fm2ObuWfGmNNvYj52RfmQrjZ4Ta/CfMIxxON73YtegLF54CO1oc
QKCDS+UsdRfmbDAM1ju1w1ca38y18It+0CDAs7bw50wzmvsKdFS5x0sIUNnQlqB/2hzXUABJHru4
1N2HLofRY6RYVrnt7WuriU0jrVD7hP3nMNWwv5Q8AUCRR0WVbTtGrwViAOVnzixLZIJHE1zkcQg7
YaqnTt34klbnFlwvGlpSdYy1DXyTd+OQDCb+wqbcuEd5MrJ7tmaKds6bQucHpl7/X87ObFdSXOvW
T4QEGBu4hWhXv7JZ2dyg7AqDbTDGYOyn/0eUdKTK2LV3HsVtKYtFGDdzTo85PsiWw/IJ6v0ft82w
q8xFWuVtuYThCMOvGd6a5K9wAVDe9vCrld1OIZlnkasjYlvwWcVdms63lQD+7nH8x5ioKIJzERxE
jjaDW56AUzXgDeHdbe99dRJbLk2buBU4gcUU+4WnbaVod+NRea0Tczl8f2B1C4qE2aLvCk5WP0yE
4+amd78WisEmbhizIVFHhCtPAKHfy6n9g5fL5Tj5l1j5WifWbrhnZGYEiHlL+V0iDSwhu9Hddohd
S8WcYB0Q3UQdiSjGtoJ95XTH82Xgty3Ta8EY4GojYUOsjjmFWe9UwpU2S/xtM/1aMmb00IJL0YEW
knH3MBuVgcrXr6//+5tedpJ/G/irRVrCknF1Cc53GbIJUXM8t+VexvAA3zMkRsNNMRa59mOCPUcD
SLuRx2Dy70jUH1XOP/3vX/DvU4dcrKT+GR5ma4yrQbRjoUMQFubVNC/rL0em27wByDVjoEOsPPBm
kMdSFw2qO3NxVowuNy0pArOr315+TPtlCwYv37QcOX6S6gqeD7dtBwCt/v70koXc0xnFjsTZxO+G
Dpe/MOYf+vWmZBEeAL//gWJ1jUYYIY8JZ35XtHH8MqJ56qa9EgXo35/uWYeM3E2wqU7abbzr4dn7
lKaaLje9fXYtbCw8a2C/C7BTvBALQgW1AHWIKIb59S1TE3CB33+AgqnjtJYdNkyavl9s/K5Nmpsm
ThZfjTwsSYAPNHh3lHzproPxfRXAF7tpzwEM4fcXH7BDRvDP5PskN8271Uf6/QCbzJvCJli9/f50
2Q3JEqezvAQGxatWhB5tR4ubBp1cCxw1Sl5xoy4LlqNUNk7Fa5S13Y0Dc5XKLd4OfvGdhGwFvmI1
OmKnL0GW4/qH51/5x/+/MsN/AIng1pxujC3YzdhC1fOUJMNy6sQ6mQMSsSU90DJj826ichsfIo+s
4EHn/aS+gEQKs3mWhnOeRZ5WZWjgpMrgrCue1UDBHVbT5AFibXkTvo+N7xZQmXDm1gvttx9EZdn9
qnt75zu+HkizODwCJhW8iuG5GT6ASeb7VzhCsugDLP0B8kPClsGnXRlX8xjKz6dec3As8K/n7pHA
H3K9KZAE+v33+XIhqaSXhmQYal4c00tRPqRd2t52wJJrSdwYCQqP6VUc0y3+xdLpFfjNl1s2AKA+
fn9z5JpeRQwcNxKgs5VpdgYL5k9OF5c5959HN5ref3/4skTA6c6bOE4aZhpnMwfpdqWH6mHnkCG0
ZwZzU/7ltl9yFSckUwmq30rFMdIR22fCyUPQsv1429PT338K9w1g9IaI43qxg46a8Mn26Z/G6TLY
/zZOV7twErfdAj9rcWRy6d5DVZ09F7zdvm19Ep3+9/v/tz9xtRvHTZm3qZ5gN70RwXbcTmbqqtWg
2H7uHDra/pBU/5dPfq2agzyhBWtMtrCbteCmLHRLoA6L5L4Doimtoei+rapErkV0LUftpDESgzak
EYRu7BM2ohtjqmu8YQTDERQCQBBMcB1niTtYkry76Utci+hyAi1nQA/uTrRTbs+lnOlhLOBwu2ft
KuOb1AXkYuv/z5iT4tms6/IINh1w+kOve/sZHum3tbaSv7lB/0hAZ8BCug4YimOeU3uA5rqoGp7c
lqyQayHd2qEUSZaEw8W6yA569WpXlN1NeRy5xlHHTCdS5hJwoLW7ixsYKY/sxjG/WsaexHIeLR4d
QrZvyumguvSm/BCw4d8/p4dTWTeXcMQWXXqf0+h+YrdV8QBW//3RkBVejHA7mG33brrr59keI0re
/+/Jftnp/2Vnu5bQNTTnqycRJjtM2/damwwoHpndFqZda+jiUgBVFkfdMe9mfQ/V66ephSH0ba9+
2eH+McdbBsf9FSjlI4ih8rCUdjjFk7xNikquZXSR33BvqEx37Pp+2mlePES5mfe3vfrVubv18bTM
ZCx3VmXddkhT91EbIW4rKhJ2ddLysbSTzIZyN6zTk5DjsTfjbYf4tZQORvhbq1oEUtIuXTUsQ1wD
9/CHnfe/Tcar9QlQlw3o8MMimtexgmrsQjC/cUu8ltIFmPTMq9UdupaUr4dWj+AKmKG8TZBGrrV0
pQIYFXjREo1WI8CUhWzM/biJ7rY+SPC7fp/uCxuaIZ9ICepVwLXnK1QAf8gY/i7V/ssmcK2ly1hI
YE7V8mPiI7LexyBMocGohdnmBzgljceOloFU+bQqumeorrl6soKusLDUzB+mpQQYM+ikTb+pnKbr
sSlIl99UgSfZ1TkpS0sCouJ53+WbOdDGwvQ3Erfdq5Frhx/iwNSUws574hSHysJ+QEvl9odx/S/T
+drgZ3ETbHJyP+99noBLFQvAEMWN+1OW/j4dqFhYRKZ13gcFiwZn/V+x4bf1D/0HxjEKWk2NJMu+
hWIeOAvO6xisxvqm3e9aMhEgfW5AJp4hrEm/z4q8Vzy9raWSXCsmuELGPups2XexiatNw/m/aSCd
uenNryWhWzQlMIGxl3KSse25I3Gx7Pks5mF32x+4mu1DBx5pkXCgog1nOC19vww1pwD5/bjtD1yd
PMaKJayNXoD543qvisyB7pXddO0BMOXvcxL5AyWagOCUXEzoHAUUQmX5TWJ/ci0J1eAZz80FD7Uu
cPqWczZVo0xvE5ySa0FoxhdYMyzDsk/7RNcELOcKFdvvtw36VXAIJAk4XKQBfijlqiqiCN2EWxbf
FgddK0JbCJ/jLCJ2P0LmBWC2aZ9kTuzbTe9+LQjNnNagI092H5W4gstEaIEipLcNzLUBXWccwJuj
tHs4mqYvA5Ay31kc8tti8ms1aKDcTXbBFjkMTNbwOYc9Udb8yYLnsiT/5dC8dvmSiZhSMZLiwBpJ
1xe+qE4dPEulOWRG4xS8afyvxVTNSpos6bGh0bQAhDmlbT1sy21iKnItptK8ya1leHoLyOYOzGvI
P0b/87ZXv9rMRI8vAD2j2etNe6Cip343q+a2veZaTFXqLLaKUrNfxbIeFC/SCg7D4bbN5lpM5RVh
LBhn9pYHeUhm8TEkPb3xk14d3YGDaTmi1rPXBc9rJbe+hiT1Ntk/bvV/34SH3Oc2Lxq9B73V1H3Q
Q0W0v825CR3Qvz+9yTJpkp7pfWcnDlioknUBa/nbjr9rDdiSeJScDVDvfT+EDyHW21sfD3/yer+c
cf+yYq9VYA1xLlkgVt5Tk6Af5bLH6zT5U43wvz09/31kQLhBudqX5SGLUDpfox+jHD7ctJCu1V8i
SZMGgIv8AJ+vBsDAAIGf5dv8+bbHX63TRI5kDLEpD1SrARrWfmP8AajXobhtrV7bfem5WBA46fJQ
zknVl+mdjG88/K7FXzDimiwQr+VBZQiFL3qI4TZBIrlWfgGg0DU8n8pDuFgfCZdkdcYLV9026FfL
tI8lt8GPIIGJ5jSAyBez29wEybXsK6YQFRGA0ncM8od+iB6yoXu96a3/Q/IFGyFuyJDtUrao5Jhp
ib5r7tTy8bbnXyW5g06mXi5jfsjGZIPHeTZnd5dWvT/5CV4W479sAdd6ri4SOgP1lh2UjuaTbdZV
Pc153LZ79KnmzblVwfFHG5r/j+T67+zg3/7oVaEq92kzrP0kkSlsbtjqRHYy1XshsOrkgTebkNU0
KvBkqoFMONu33pshP49SM64OSKx7oSoZxOrPvPFR840QB9ndEEPSKirS++BchYRHTw+CJYV+XOfG
JewMmGQ+CZDSZBt1VUzKjrSVAU8SSdHI8OkqWk5j+w0YTLUkVSbyTp1JAG5uBBFPJ3m789PqTC08
6bf3sJBzawdGGxg8sPn23QbCXQJqI8uq0sO7XZwSLRi86RVqllZV6CsAvBMOqPk4fNSpQuzY533x
l9IK/9ksU7buGOS+pFowQqJeV5d2x+CXDdQlEZN5+DaiaJuDRm+A23UVLUBe/DJ0mSh/qHYBiQeN
nGE0qoLbV+8/X0R6Jx2U36oBplFz7Vw3J2KXo3Gy2Qdc2aT7KG22uW4KzLQSJEfnKUiDa6DxfVKs
rDx0dAkKfWHT6E+w8R/qnOmVPfbx0hW7uCOO1DxnE6KwQhW7QsEAt9qmlk0D9Jv9yNudLZFi5TUq
JFs74s2mweQVGL45+kbW7thkOcJG7CVMLXf4WiPvKlMgsqtKYLDVblFD+nWyiu1AQ9zyH0sXPDlo
M1LxFExasDc+pXn+RGxDyENoeLG0OxnQo5IdSrckcEQILF/kIzo0Cnwv3QEuOdRtHMp2OcRwNUY0
puIxiJNnZHPfJ7D5xrYeVxSDzzk6kMoPyZZvs6/lkIEk1hbRxQZSLnJwEbpYAkRbcNDJl3XZe3zL
cTynFIW09AxKesErwUR5YIC61iPbnALNlvpoXi+R5Trfx8ss9s5gj3piY7v0H7YtbYcC02FMl0NP
6LzVY8uzFC6x3Msdahy8+FJYMoz35RZQBOI0XjZTOW1RzK/KgubAI0prCSF1SQnpXxNRGHaAwYrY
7ofUJahqxxbeagHXzHZt0bsV+5lZKDmBB36M5fI9lRF6Zgw4o/p9TlVS7Hgz0/476iCFxKJR2bju
5p6O85NY4pZ9gDxrUofe52gTKsd4pHeBRql4SLgT4Wc3yHFBx4yJxuxpwqLl+0Fzn561SvrpE49U
EafY3kTLaJWrrNRPsbUi+Z71TVP4qmlBTz06t670LjZdNn7uHfO0hud9jG701pGkhLUzZfJHY10r
2kpMovhOCZv0J3SXB17jdglnF1olRv8IVd9c4H8eo+zH2Js1nFWqvf8gQpwktQZtWP3oM0xzoF7T
8GTLuD3E6VT0z4VZcraPi07zd5MAm/zFoUcijXATDd+AYndxImbn2dlh+Evg5obf92wi/jiOvWyO
U1om5n6ZyjytezREpF8Klmblz8SJ5gkt5NEdrpHCD3SHqKp3tAVNPmui3daFwt0B8rCGE8yDyGdZ
dhnorhKdjq+553J4StqmS85u7Ba/jybeb6cSUFF2zNkm4k8xa0Tzjk9lq2vtbQRPxD4uZ/ShKAaQ
3xpmah7nONj4TDTT8iPIGs34vNAy54eYizHf2a0H57JytDD8AP10Yh6ncmU/QGvHxG5QpXHPfIsN
thI+bm7P6GhNuwPTk633oofB8aFpF40OlQjs6g+8mMvsrLQGJNk2kWHfOS97XbfDLGxfgXTaxIAD
ZWQ7z1LNdmddGkc7Ow9pUg0yOP2F2BJvsKNxm8DOcMNbdFE7m6rfonnYDxdLngqGdkE8TQ6NaXuq
jfuaxt4x8M/aAb6cQEGwR4RL7a8GSxgMT8lTVTPl6PjJT+AzwuBIKVieVUSE0J2dRZfsBw8+nWkq
Ptl8w34ftBvHqrc4pl2Fivc6/3DLSugbGBkGB4KAW035TuIplw+p7WL2gDjipnM/uFTRCr2fAz3K
MinFfl1bIkG0TWwR7h1wxahgbkA/lae48YgR0cnG+XkGBi2qgum66D2jAhBggI6XaDfHa1Luch9C
/2biQPrTaoMrj4sao2Y3ubTxDwR0rZc4mfvuParIqRdVJ6UtD3CNb+1dKZDBPHlUIYpDJjqcd7Zp
6ASdd8a3B9XGvajHYBJbZ9rkEfoWzNx0AHljBiXvbCwUmjGGzNqXbgMM/jTiyrh/GuF0103V6jMQ
buArXk3OACybkHK2z3SeouFb2m2FfGCSAC5dDVxJ/pPIImAmKFi2zfuxLbr1gF+29XuqRDZ/ZGLl
zd3cdj05o4mWycfFpIBi7bEdSbYDy4g0vwKskuFpPvOenuaxa1tom9HEhDlSwEfpjvfW65PuFYFm
OIWGON7PGtTDC4J8SN/jbxZva8Lt9lXCNB496WXKx6yeYL/Y1hH2p6beGr2971NmyakoNXpd6DBA
rKpWU0S114sF882MbkMDyZonNS4UCv6C16X0eXO+7U7RkGa4OeoaES0flArjcAfpLg+Iioaw/cCp
MQ8CHqlxnLxebmpIXBM+5eExxGWmZuzEwTfnosenh9EsAxHswWFDnp5Bv5jNGfzu0p42y0p6Obk3
Dk+AFsM4z5Utscpj+NW1YWnrqXPev5Jyk2UF0ljBDnmmsL+BsOt68xzbpJi+BTPrrK+kXTd69hmJ
t6cMs59/7ucNjBj8SDI2zwKlcfeuEBjEu5D2ZtsNZKH2hPM/0i0GN1XgXIc8dwB1CzsGfEzTrofV
iUh9zBNv1cuKMVvvph4KvOd+7XhXZz0f58+bzlP6RaW5LxRwvjCq1hgpItufAzxT4xe41mfltxHO
K+LrJCeRIr+CISKpVZ/2+UmBau4Rv/G4YGM1RYvHUSg3HB+I9mAZyyK65rsZJg2jh2w0j77DVd5n
dYxDvT+HZRIf8gXzey9iJ1ndbQH3Lyofsk80hS6iJr5o+hq5aJYDWTjmyzGVOWUrqMqxmp40nzha
jhPYdx502cvxkSjtIgmMcL5968fJbgeadNn6nAyxgf8u7lnLD1kxOH5YJUg5L1PKyediBuVlN2cN
SgFFF1n25Afd5IfY9C59xv0TGd5Jkc/hPumHacSGmWFtQBYPoVpxFDBRNY8AN5d6q4ssa188lC9R
vbFOre/m4CY0RKPvNXU1bAwbUedl0ulnMaPGVHHVymlPPPpq5QEtaoArN2QYdiZuUnyJjsvkMVv0
heTK5kvwU0Dty9u6LFaa7tQyxclSibD5T30h4ZpUBYXGvw8azW3krZ3Z+GCGBRFXzds+qpMernC+
xu6+VrljxH5KF9genFrmNM77fIsRphM08GpbeZJF9tzhFeLXZRxsXqeUTTvh+TIcxYal/oXGxq2H
NBcAVDtiYHmWZB0pdkRCiVnNJAmHEoeRs5WhTT8/LZBOlUMNZnIuH8Tc+OfCXwCowQRyPxeFiPcF
CDYgtSuEHDsTMmz7Tq5RexZsoPbDIhvQyAezJDXK0lP61cvGrXXjeHZCuAaspUAXzYhbt8psPT9x
q2GskaGvGoctqUOwpa5GwJDYzpo4PbWIBz45lZP7FlZKCgj3fpprnqSshWerTqtxzHp2V7jW/8zQ
/dM/plg66hj6GdzsKUrNS+xg8YoUiNiHlhVpQOyUZOZljTSU5HbLa4Y28keU0NGsDboogRs5Onkf
vSnSj6OL2r1IeyYqpTZ7vwpZPrcODvo7gWlc021xdcqb7pRlWQneeevv2mSTX3279u9LIk3dxexV
UqM+0r4cyqqN9QzZySKFmAAH70o3Vy2iXX/wwLv5E1vT9o0lm76zvS/KHaYzq1VYwnYYTE/vPOSL
2UcXFfn7VjqoFnapHfLo1Kh8dbJqMHMLtMl7Hv/sbOPtR0oZkPFrp7YCUs5kdX7XXfwAztJvAbYp
hUm8Bll3muYUeUxHxn7XsjWJ7tYkQ0Mz2qddfGd40pRPc7TN9rCizz9+C0ymrC59ttr7JdO0/YrI
VU17atMoPelOd9lDv60SNNZ2WGXlEm2KN7JIHT9PZCF6D5sGP8CSYGb8PEbAv3+JOFjCfU19R7td
PPfcVgvtEIqWdsm72kjEKK5qSESIrDz1S/djKyiZHtZtXMN3QKkcwiFuC4rZLbG2qK56NAz1e7jo
NOnRFLLrX7cEuf9+HDKiDjbHvrNDRtPm5+kiv9tPuUrJM5pqenoP/SxJdkm50fKcoG1q+6tDf4B6
XmZb6Lj2Zbvyu3maSQz0OqBeuJEKfSr9K1LjPEUWDMlmuJ9nOWNf4EPukketsCTfCySr7ougojxn
4G0jQVYu/5LMRERfFe60kCZvIwWlEEVoXmN2IFiqmmXF7j6bZdutqjXFJ4aefvsG4HtcfJ7nqUz7
Hc2nCOdVM9Bofc9c6Le2itI0J5W1jVF12RCZPs2h2PxfGdr95U/ToZttX/RA/b3zkm8lDAfoaF7A
eKZi2w8r3F2PZRel4wvDKsOOGBMzFdie+JajWMgHtO+fehJzdyKCi1jtsmAQAlSSMdbCBn5E/oGI
r59qv+pLLAKMi3WvvTWmdcdStMK8yTka18PYR7Y8z3O5UHyxUDqzm1K5rV9FSdGLxLgo56/WiWk9
6DZWUV2KJbnvprZh9YS7R/vg+z5r8UnyDs2AM6rstdHrhKB0YrCTeVsCXHJhBDA1D2ObTkfXbMW7
iaTeIjqgIehnL6WsDHiaFZrC2oWAL1b048G7gvq6BYJ0OQcyI0Hj5ZJXs3VjpCu7WDe/5onL+V8r
0CbFPog45jvmLudq1c5gTJwahNkPHay5MOtIoshd04Npeq9bP34qCwzCjlibJbKKO9wyv80y9BGi
VB9Hxy1gXh8RByT5ncUR0H9zjnRHpABJ+WWExXnOa1q2cfdOr5RzWEIninVLhUlGSV1gV/XI5iI0
zoWcJ91T0bs41AYL/qNIqNrLpmMDllqz3I0xKhiPqFcQ+lIMGxN3bjXld1RiPiP0sCkDUoVBAj6C
EZO+G9K2+Qo/i77btQqbYtcb8WhtjMgswGDEnWVe8FoHD+AIFPTxqcsNkY+TJbN8NM0y3y9aj/03
EJztr2gS87zblgifMdvyN7Fkl8sdUeBs3zL3xhBL2F0bJsTq0DXZrZIuVwc0K5es6rVrERtAtrAC
dldsqNdiJ5xR37H9k4OgH4jE4lLpQeO3eRMIxqqUQoF+Rim9nB/IVEzRC8kh4oMoKB/a9byytrUS
H2Xx8YyO7qbv9ltMij7f9wXrXtsJbPh9gkaB6a9tTcVaRxyVq6+wOwBB1tBizvYDT32Kqdml702H
fOToh36u0h4bqK7WxYBi16YL/1FQNadvxC18rb2aE2Q7eSbXrerXQkZfui5pvheX0ORUbOgy/+iZ
/mWFtBnC3XJKEMyqTCynEkyQoi6ZUb9GiiVbFUB21MCCxNlellnxd/FPkIBB8MUe/pZNhlQGUPXD
luYu/6zbqET/cVc2qAxGpYIz0qxhxbFDUKLcHWXj+EPKjSTY5zLeD29waiv7OjXckVNvM/8TqXMb
7o1Mm1+Ky1BSALr9mj4o7rLpY9TEjP5KgMygP5FaclRG+pY+lKMR2Dti7uu0TSb3Ysom12g1wt1S
1rI2fukixlDNRugR31MHQ9FDuRqW7jYbYrJf2TqvlVTL9h6eyEn2SZtyfY2ibP5UNHnyEdftNhzH
Bv0Wp2hEYrxJta17lhUw9A39qj9hzMX9kAjI2lgPQjY8TrLxPPKynGqqB+UqHTXiMzp1t2qi6JPR
OnPs3mw6esmZ2x5ZGXhxGBtYjOwl9dtxAlbimGgZnzNwjLHnDWR+42VL/bNuR3QPryv8fio6LY19
7xZYvH6FBweSs9m7jH9GaZjkFVs9xiF1fY9toSQJGRFx5Og/LmL7kW8MQSJBKaFtEWX0NII9bB6i
nYEMnu5p0aJu4sA/B6ckN6E7pjrWb7Bf78W7tBjRBL6BwPCuw4tUpFsTvdTYtr11lUFtjDxrwfOs
Jhqv83EcGzce+qnpeZ1muXbfL1rX8zhIpe63PA8Sf0NE8zuRZE4+kzZ3CNh8Rw5FoaPxBAll7l5R
ih722CaG4WAo7eddyleZQC4Hcut+dDE2EfjA3OFboBzRaDpqpNsOouXVe/tujni/1gNdEnkXRasK
R9iPhZ8RBTapkkBD3rdh3LB8mgLDIVy8F2W21NNk3R0ZEwScvBvuveb0HdTLEzoE4O+IOgeMGkiW
N5+jADn5oUCHjP+IOtO24iCa4+SnLUyb5mDgiIDywCwXPZwH3FB0X3mYZlXjS6HhvRAckTl2TLmq
mk+Nhn85zIvKR1ikFXldOqaX8zZmE3D14GaDXdqsrOiqiML28OBKclmEUb+2LeiKEzImbD5i14e5
dGeLpoyySsfNSixj3Hf9WnB2NmdtbNzuVjhqx1BiqjRL3sYMEdpudaXhdZ6tDL0+lnnx1jE4vexi
+M13nyUKGlmlhoXzj/EWsHu0UcSSO5YnitaqTGW6G1ENW+txWFHaqtCXt7W7Hn1c8XOmJ1O8AgjS
rZWHC7TeL76hY+XTkCGCKXVif0QGVIWKotWjfAXLZs2P3GuX/2D4Ue7TjACVPdA5kXmdyVykL7J1
MUyTNZIC3s1KvfNo4BeHtJ9j5SuKZvsVBUw+hBaJukXJAZN6Q1AIrnkzAUZdzs0jH+MunJMs3obH
UqNOWzFNHPzSNTe/Yko6/pSGZoAUpInFcFqKNUpf0KKWM6wpQ4LD/c/g9QH8RmcOEBdpVeNWhS7f
B6fmCIDEYItzJFFO+RxLdflCDInPLjGl7tH3hwRMPS2oH4oa/RV2Xip4DiXpfcxSiuSS2mg4ddBZ
rN9d6st51zDW2KPDfu12hmot9pKQYtqlINJYUU1GeX5ANijL+yaD/RrEl/KCBwMtbdz1vCu3u8bG
eVGjT6Qt6Q5ODDEWVNco3GfjKnRs79i6kYCYxershCLBiNv6CbFdhTpsIir05oV+N2EayEO2Lcn0
K++okBFyhySzpGoJTEz+0kJJ9HMJ3JBZHKYKcWJWR9KUR5bq1G9nkRSkeINntLIPDqn9pvHDu6zP
EINsZHymeSe3TxF+TRlVPLFkXA4XN2skpGsR1uxpuWTQ9000ig3BF/SyMJjyTds+e5XMSFbMQhgW
eCZQs8pr3LVQZKvxrMrhR+eRXUNO5XMV/zJ2jSYEAzlFwjRatNuuoNWM5m4ux6V4ptg8WoSKRR9+
Co7biK9970ZxyNpsiBxGV5MBsGRmutcM4T7WclrmGT1ohEbTL64z6orKJiXcml2eLcWHBPW5DvgX
1P/t99Jki3jT0TJGL2OLC5/X9ZKowrHAFzKt83WCrzHa5rSRZ65w74VJkmlyMDkSH7YHR3GZ7tGU
2lJXB9whjch0O5N3+S6mzBb3TuMm6QHRdcEeEBZl8/tB9sLc5S1x4zlaADP/SuK4iWt2idkOy6ii
pZJ56qKHMYbB02u0zEuHPQ429HWJyHjY+0UV5qmbLRpdFI3z9UOQUJHVRTzjkqcjcoDFjGkj+6Ng
s24+EDdj8x/AN+jXcBcF8LURssLXUJ6dbolHPAUGdZ3km11OfhxKcjKosrujFCzEb6gqUnrXCdwE
1jpWEADs0boZm2KHuRlQ27pU1KLDZNJ0qQlTfVRhzT0yPfsMd40U9hiHOIG0ejp0UYL7HjbgisdX
Eoi1ovLTpunO8JxmJ7stZTjpbIviAZZuqVtK1PRasNLGpUz6B5qYeX6jM1zVf+Xt/3F2Zs1xK2ea
/isOXze6sWUm0NF2xGCpvbiLonSDoCQK+77j189Tx55pW9O2J07oXByJZFWxCsj88l3tsbww2KZq
V4hkdJ/nGWomKGIni3EnIk59SKuqkOcoLqr8eXZ4Y86r6eT9SR+p1LlOvFaTyvF1Ew/ZqMr4tGSd
m3/ioJdGk6+PTMttkNVOCWxtk9GW6v7IzdxoPtkfcm0CeEDluLscafAtwlh9IcFQ7w3fdQnALMMS
KqgfjwxgHW/soLKme2CfrgCeEeNApTG7ueuzxduOucoVSb59gj2Jlt3Enbxzt01dOERL7Wxqkctg
J3XS68wbjeeYez2TstnnmWrFZStqTK6GudbDlzkdXUIr8pHokN0QN8uaeMYshYLjNBFd6W3vTL4E
2Oi/lhOR9Q81sQu9ubtFvRpgGougfd3pNnfKfLec5zxYy+7WKDf08k50kV0dbczl86GtmtEK4mlt
qovZk1MDRKrDt9Zrp8ZdCohveFpvGNoOjnJIg8KJXY6dTds3TEhWmVrvi6Lm/RxtcbY8EclgD2Dv
SdRtP6xKWPG3Jq/14qhbWB2POqhve8Wg3Q0vBZHUzDaVsJeLYWv9+nNtRdZc1jXWegC+xXT8zWUc
8cCXR7iVtO8R+7WDfR31sp/9YaU49NjxErJg3Ewz99HGSzhz274pGidn5yImvSsmmoE/6XMe99du
2IzqpKi9226ftorwOrjDSnV7r+zsGzCfZgWZcLSmJ6yV84zfV1ztZchknbNBspDejvlz18z3rtZN
lr9qmtFxszhth12iEbd30G2Aq5gkOuHe92oqNJzdqUp/jLf98YcacaoTbyDiY1u7q+HprHfFs9V1
5sC9F4uyHbzG6TH6AzFRFKUSPdUDyxQa8horbqM7M1HDvGMZJQtxKqp0+hiypVku9aZK8blbRmlz
eGmz8bSuals+O6pspvtbhqN16Msx8krCblqPaTS+geXNMrHnQmA+OOvqqlOf4DS4gygpyWBgNt6A
ttoc1EpQXGmL4R3jaut4GIvMOVxkk4PadW3yhEzCYCKaKGV+ylA2si/SsUF2ozs5kfuqGt1F3Fvp
8FnTvoq6th68FL+f7dUOOgLLh/vuxg+ApBjwFsBGH95BK7ZU8+TA+Jp5glV2AEMsatweHiH1nDt3
C/ZQyoGqxZbJFxzW69h540yJTbsvp0GkmT+35Iczh+pyEUbQWQlSjuDf+m4gnlcTzh6myhp8HUVQ
72nO0EY+QcnWJ4uf1s7TnMTN0U1u2G/M8XtpbmumHd3XZt+FoAXbiK5Vi7Tjv0Xjoi9rbxcHgrqX
JdBlVo/etibiHsKqGgMZYf7+fQqmX8vn5GpXZV31Rai7b5n9Iqffp2f+NVBIFNYEXcPjWumTA2iR
it9pofm1dK4m8NCNUqV2bJM6IJI76dee1br/Fx7efxBYBWXw9xpAoDBzQJEGM6Fx/7VJnQ7nctZq
YgT7rgFwMqeMWgDltubD0gPdcsDKNN2vtYXP6Z9LqG6qov9JbfSLsCyGollSrVO7mjbTIkjxEVwR
D7Y+8xr0I1ycc/znz/SPxFS/aEG7tudSQ1O8IxCgVc/DWkdj0MTMucHMzkQ6KYkkBVPpslb/4h3+
ByLLX9OJMvRh7Cam2EmHTo6B2JmwBWv+F7/QP3r0X9RnDY1+vUpcgXKk/JZ3xuvsNNHvs47ov8hD
GdPbsokjsVup/fCSbj2mY2H9zgf/RWE2GMZQ1aMUOzDoECI19SID5PGff8z/6F35RR4aLVM6CDeV
u1jXevb0KfKMhN3/9z367Vn/xsVp5o2FOoj3xdxKsnkHl5bJrX7+5w/+D65Q3fr7B5edUc7NknG5
JMo1f/RgSrOvy9WkV8gxy8ZrRtTYB3wlovld9XzWr4kwiRPPihghsaMOVXy2266/ywzg1X/+C/22
uP4Pd/eveTAqWy1godjelY6bgEC71TpDrvDnYzUG+WozefMvlW1Ucp822Uu2pS8GV5o4RH06JpxV
4iSknfHHMllUN3uDYiT7y6v7j+/Lf8Yf9cNfXkf/5//i79/rhsN+nAy//PXPL3XJf/91+5n/+z1/
/xN/3n/Ud+/lR//rN/3dz/C4f33e4H14/7u/hMzlw/o4fnTr00c/FsNvj88rvH3n/+8X//Dx26O8
rM3Hn/74/qNMq4BDT5d+H/741y8df/zpj4a42a7/42+f4K9fvf0Gf/rj/6p+JN37Hx669x8fffL/
/uTHez/86Y+O/e9KoiESrjANrPE3z8j8cfuKknwFHEIaLikcfBN3cEX1acJTu/9uSOkolFgEf99y
Avp6/O0L5r8D23Dk5+GkbbIW/p+X93ef0H9/Yn+oxvKhTquh51Fvi/V/X1DKvj0FULnhupQ5O+JX
v7MktG8yiCHYdWM898/J6Dgvm9KqJhC1K++pE3P6QDM4f1X6Uu9wX2R4gOlF+5u37a+v629fx418
+uWV8DI48LhQDJYtLee3V/o3KwKVLjLVVtcMa/L5XnNnHYFL3Og4xbTeUMLmXoi38TbuqTIC8Wvq
8eAUrhYa2SIO/FO604y83td5Un4VCWq5KgFhhI9KU1oQIvGgDyhIqPo1A+T6412SpVDLWSvy0OZk
9Jj0zNMpeTFHh8O6r7XaBlgaF1GodfkcWEKtYRXDkzORzW8GgChHJCkqeIHVPUuIs9VzTeSsGd+/
eihyjGMXyeW9Rvvij5l9x4lBO2C2EYW39YP1jmK7uAoLx7CHcZtcXbLszosc/BTo7ZtlDdsPI+/E
i8tFsEcRO52GfO4fUgQFmZcleQrJNNffsH30x1FO3X1iD8ZJrw0zkKhDd9K1hwfw4CiwK3MN9cw6
FXVzYExAbwRr/QmlUtGCDGETsVmt3owxchFv6uanhAaJ3ciEfcwqK/K2yTIvbRJrO75F3y8qkkE9
J92ht3X3EmvWfJyc24i7Fjuq3NaApsjxjAIvBemx47CZ2yZUI84pf2wra7eqWYQR1AFOUzm8iFZv
AjetrUDFbfKM3lS8qc2JWLAYdS1UxYemtzZ+tfZhy9fVK6U2X+Myz15G6hw+zzPcYMbx8mDatu51
tZmGLT2svrV104+2zJxQlnn1aFNLwh4ptfFK60Z3SmPLDgzgUgTaVztpD06lnZ02Yc9bNISkurqn
cj1ZPT2PDX/TQdPLygS9BWlXeeXuc5Jzvb6Xt+P8WhxkogVVtOV+z9Gtl/0DsTHSKxLOPGrELIoo
Nj1YE0E1JNohk8nz4S3N6Bep+qEGKIoHf6007Zva2iV0poqOMIH07xa1B6un4TC7iWgbeOPb/8kf
MSeJPeBb/HmDfqen1JjWa2zP0OBJbTzqcDYPYzkt93qjbX4LnBTMG6YGYLR79HCQ5uW47Zt4GB6L
Qsh9Udjboz1EMOeblvqlBUw6cQ56yNe0umfujUPLTEWIdEUeUSPbvkhaBCGVbvq0jjaHGtvga1FZ
Fp+mahEw5ghg3fKnxVkmNGa3fEEFDe7GETjgMUiQSlp5mBYMXAtiomMtBmdfVbEZWtXqksFVqtgv
NdcNu1h3/AUZWtDFVnrooLjCPF71heTEGqYO5a/YjRayJpYIyb3Wk6ajNQsceFWu5SFjLzytiYq8
0VrkPSpF62lamAqq/m5ptm3vTrW4OrW97rOimgJQdOMaO8m9yyITmo59r4+lXyRI3GK9Gs+TYaXf
17pLfpbxMvpuwVBvkJx1WRFO3G/Kat9iVv0D0gd56kjovlazPRy3ahI7jVyP+56X7bewr08xmoR3
s3HSk8wGcRjmcfze2UX7xMrswKXW3VezHTMwtiwCxZM41hvgrwqsPZb50bGFz6zT3RjMcVz3YmvL
OUBXBIreN+24o7V63onedZo78vznKsBqlV1H4Lsg6bRsl8XgCUntwJdTFp34BjzwEJitbmHyGieL
HhZrlsGURq9oj6J7G9n4hurIrU0PBRSfs8v5B7Wa4YyPKAZk4Zl63732bbP5uRHF93RzlCc2v+ka
WWheWNPWfb+O1Wley+RLY1TT5Dtxx32dTLAzi+XmZETNVeybyDCsS9Lk4nTrTLBDq3E/VpTm8bGp
qjacx6E6OUjS3myagA9bViPNnAgGgvdVcl/B6GxIxd3mZ1rnaxNGWzf8VL3Te9G0DW8lNoYDZYL3
VaJ9bpe5P1SabiDIR57tMDVuXlMYbnnjPAbu/83+AnUhKdNI4vqNmJACTebKE+izOkYzLOxaltUx
MaO5CP5iOOBQXzwgDp+MfRmhJTnKbJ3cS1MitPxAhtePT0ZW2s/kUljLbmi05r3nVniPIrN6rYtE
u+IxqBIvqtmgQ6Pj2Up3IzckQ2TOJhXZr/E0veWlq51XRyzRWafb1peoQKQvBmDHv3gXCIazTiDR
1tNfDAxkOYJTp6v8aaymeGIrJJ5yVlmRPQ59Xx+RyKTPI2e958TAlxHA/pribird9mdcIn0Jk1TJ
z1W7WN9RSazHAQxqv1I5epbr5Hy4pSKwPDL17KA5hrhEmY2vR2vn9pnMTXmtFt5Vkk/UfjJa27N7
rZVPeSTbL6Ut2yeKu6rntWzbAz6maRf3MWc/qElHehDay9XaIutgizQOVc/s8pu9d5hm9doneuHc
94REZacpf9JAgM4oInvPRnMf6nkdNX5GboX+uaYe7cssshEDaZMCwJQFRelhWo/iq4SMq+4ziJM6
HNJqy7weCWlYGFrXezR1GI9GZdUst1r8mMxifiu6xvhkabP1XA9GeXINsqNMa6nvo0KLP1XSReuE
mxQUduIhmLXmDO6mm4JiSWcE/eZwNpQNRu86GjQbwdMGSTF+NW81BM1i7iCutBtPHk2fusWosiDP
WqgOWeXL3ZqX5hBuyC0sb7tBaHSk1MshM+YxmOP4GPX18i1R2hzU3Zp8js2yvyorLlEuJIZflbbl
T7zBPu6Vg1ki2NHcxYGwWLb7kUamoGvdHm88yhtmMWe/LOjHWVTzEqaDBPZhOTdRpdlYleCdD6pH
t3Lq6yw5Mc5gKDLhsziKRPIFQXmCFLNhf9+7mTIe6LjY0K4TmZRvtexplLW6J35qJ7I13SN5omGl
FFUgacs+08K3hkm9xmVQ9V3/1kRy86JMrIi0TMKu0NayHVlovFuhebWhiEatt/h+2laxG2yuUTvp
nIvENuClcYcW2fYa+yPRj0tXvQGPv5OK5GUWgdDqrZtmy/SBcGH00Nl/Y76sd4MhGnDLZZ0+a8na
PhTouUIrj4o8KGzp3N1YnW2/Av7jeM7dPYElqOpyt7iVNtmHLI7lXlBBEnBII6EHoXbiOzDbnjGW
TbhEurE+9Itu1qe63gTqghJ/uUi0zpusIjunuZu/TGOUeCY8Cr07tN9kmFUepoTO3zBr6vVjMksI
1ries8/O4EZBpQlUOgjHleVnEA+NP6MnKMO6dEwU41WvZ5FHcwdb7W82IODf1M/SZsbfEJXxQSyz
fcRp1exk21WXChb7LptVazLf5q9LnVjmaYonLchmQ0UUsEdtccicrLo4pgMxYWziwK88+zdt4YEW
K+Pb2MfWgz2bPXN1v+rPrDYJ+ljK7ZsgWci7olU3LKdoOuX03XS5s7NQsoYMPXR/RFV8mYVATTMW
2vs2R7deXzloJyfL3mlfcFEZqkTz1s0sPsZKxfc5qyK7/1Di5gGpRfC0RmuQ23p1pRGI6U2b9NcG
SeYDG1x7pijGPruuBu1k40uyoVlwWtTRT4HoPMwNS90vIjUZoNWIHmpG7I7bQXvV5MYasi5RtPhu
U+n7vCn7UBWifdpmaUfeMpjWXRfprp+62/Iu8Mk8rqziezPWdIBxTBilURX+WPQf3Y2HRgHTBupW
rCQFHUia2IxAGPNd1DEUpLN1tviEwmzNFVIYvcZop+xQstHAqbdZWKaRuuKZSV6Nsbtrke7vIEb7
fQF8vPBbb8OlE3F+RpOuWEjMYjwg2WNwixPzqNtivTGiKHGK6lzUxSdplh9a5NwPk1Mjskpyv11y
fZcm1XzUUoediQTcWqnek8aw3RdtW36nAHS8r5m+oFCjmHafPDkA4M0nZXzLCfMYUL7tcisHMFzW
g6XZCWepbQ7WZC13BhsSIvp4TTIfR8MBZdvqRyZJF8lxScUpWSUa6vicb6m8xio2zpWDyjDP8Ej6
WyOaW3MTau+l/OHQr2B4/TS/EDPKEF3FtS+dtaFGKU8DMK38MV6ZaKMuts/OMNqPtlE6p0lvpnAw
MrwmmoN/j7v9PK43M4xVdwYjaKXfLkPhq5VLQ1u6IqCa8BChgNwj9TzhDNijjwwMJ9lDtHJNr/5c
iSJg6khPUPYZrZHZcu5MoQerZG/ytroej4YqjV2mZbDxtoDdKfPOJrpuOdhpe2h1ZojNnhxfmBLC
jb7iY7SVrH/TxEcdNbXmJ+WK0hX54TmJW/dNF429R9VtfEbcbPv0YBanZtnGwNCM+FpoAs/Q7E6H
bcrMr/D61meptuaJCTg7DiT2vOZVVB9p5dOejGkUT/nW5qyVAnWrXXXJpRuy5JrQlxHqDG3fDYJn
j47RWJlnD/UPi2IuT7OHy9JmZ3IgRLDq0Td9Ye+zVn8jQtUfU+0F0giqcp2k18xuf9DWQh0Xc3Sv
s5zdZ9wGQ1BhsvFrgwF2UpUVomN3UL42Fz2hgMJI60Dq2JUsm1OkXj5l05IzJ1TdOzCcHZT4ZHwM
Adqxt8wDegPtpFtpGVYEXGN8G/qTcvMngVxCOJX0TLu7q83Prb5cR+TvRFHtzEF+yZP5vpp144Al
7hkR3C7W0K2U3SHKjdu2JGMQWCQ0jIafu9h9K0sXk2n63gFs+EVHaU7sVBBWy1geXFxWHttMdSET
1eQ67uqj6+RnRyQl3hh7O8uOZG8lnOJQ5s7eXvPaz9GGHCK9upm0inhP+8yzboH7Oms1+ZRAL8GG
ICLn4qjlURccrgA68++WmdVICBRMfTpXMshG1kiMZoekzqxADIW+x3kY7epcReelQByKJLA/uPhB
I69qM3VJY0ptnEUFGwzwkXjPYp+qozEmZwonD/jOibUwUvGpadRw0Slh/pRmNi6YbhpcMkwIStzn
ZQnUm0erM/pONord1qfNqza7ReBYHFE2Cc5cbm5zRtYzPaPKf8iFji5E8P3oJaBAT0PZflQLLr4y
X7XSix0dSQM92nrjBC2w7w6IqTlmDpal1lrygM7a9bqZiFSlMvXvFr8fwvsxH3wFb/c2ak57nBAE
PSxjJXYRzjL4P9fraUsLp3bRd3Ia/NGKdNa8+s2Smv40YZnghLO462Op40El2Ed2u0FAq8/U3Xjz
rPPWw+sjAJndcNZw4XlwDJcS9i6QjZwvivTly2TV1zglrGozPvBIJuDf6uS6z4uew95YD2RFH8sh
/TbH48cad9Ly9KZmEDfbpfCEjNtDb3T1jm1TI3OpWILM1PSw1sr5bswn3F1KSw/sXAfEvgdD9ZAz
UzDrDuZGtzw4Ts0NpcqQ3fZDzuadVgl336vtIDTjLLBgesxau3aavozmHHc+QcH5sWU7eO4Mfb2z
ouTLaJnoiWvt1UpdcV9my/BOQmVz4OtelTO2KA4QR6vlNMaIoj0vrnWtLVIVs0X3Vd3IS2viMMyE
+cYCHiNRaMWrZZVGoCE+C5zVeC2VxA0hnc7f8GMyQ6Pszn2kCh+j3pvexNbsuQrPT06pqreW8meu
8CMn6bHMFz+Zy5cWu4+Xo7BJ2wlujg18R/kqRilrX1Trm9Y4NnePlofpHCGoK9CaPXPI7neFnV6z
COO2awwPc1cw6qEne0h661MGf+6rxUIIVujMi2TY75Rhjij6091CBKtvp2YBlGfYd8tC6LZTTFWQ
d1kUiEqGmHlD4rPrzhfGdLLzi+bq52ZOU27H6hmpuDdO1Slye/eQ9uOd3NylC/pxdIOxNsqXuK2X
N7caTugEScTiwOGVzXKQbbHsCTo0q7BY1vqYIkfbaQQDHDUjMQ95b0wP7TbFX+Pc6Hzu0HeO/C9W
V/jzg9l4aMF+KHCuF/QO9dFg9D0mIENhtUwXDb+dV+FK2OmLcg62WWScTcb7uARuGce6ebWMDM9u
to6xl2qOFRoNFthqmJDyN2tzMRWIGceGCIptk8/4FVOf8u7lWm/2ApZpyvYoZTYGnbakQeUupG6W
leeSScIHpcdYZKM0VNjhXK9trPTTJBb7jusspN/+Qhp/f0G7u3l1poN6HbFjOCE/22OQsLWjyUkx
rC19DXhO9b3ZIkrm3fnZjbLn0qyTvaopOEPSl79qFch3K7qHEWmdl6V6GuYosJGNaoQlsc8zJ6Oc
zRIbGUDRPCFSm7yNOWHdlI30Qmur49bkjd/O8xdRo+VeWcWPMo3ta6GbOYqXRAMiLvKm9YBvmJbn
xXIuijB+1H5kDqhAZHwfbrMpSCoyF7kpfiigLnRtK2FZMlsesz5ujSC/4eGurhAx4qfLTTP+jK81
v/QO5srKQjAQ9mkWoTaNbt7KaF2y/Yya7Cv2uWE/5Bb5xkyaDFT5GJQ2O3JKHEzmdeTzaawLKx43
V6gpvkxyPWPl0F4xvyHUa25W1V4zjBdXCNpK0EXl5ATUZXYhGiI+q6gxDnSD6IiE44qrsyq3xFtW
qe6UJVNEVX174EesUDfTgSgDy3xN3UIcYbLan33SMDpGdn+ZOw5MlWbpj2Yl4ntN1ta+TUg3xtrB
AEQ8mUGc9cjOOzWluOjTEHQMf5bhmlhfQSkubnerTyjN+ERYrPnCwl/dj9JK9lPcDhVKGao3kdlY
LWKOkiSGgkB09Bhtw9anNn+12wmYrR1BwurVTN4dyXqBMmHOP5mGcx1xmwJmztVD1tbSNxb7I3J1
65tuGXWCqNOKfkRFWr4whnzJXIHAM+8ezbF/Md18oqMTwGtEC0UgTIMQTPXnZdG5XAXAlyOr6bBo
W/XeiFQdHPyoPjyyHk41CuEYeDCI13x70Mdp8eERSESgTBbYDFcqt5YNQCfx25ZkqtRp1tw5uYXR
rV0UVanDp2lN0BaZHYXrKAQwA2EdNIW824Y4RYfbt19t0h8I8I/UvLfEaLf+aFuJ1wgONnH0gond
PTrubdwht0Q643lB7M2Ct2Sn1VQ/U8Z/AkrKIciBoFgJsM3603hLmCgwMfn9li/BOBjVRW7Rw6i2
BxlL9zHBAenTt9rs6sH8XiUOF6NIretSMht32c2NSDzP+82jQZKJ+9XFrXuQTYItSTg2RiNiNFAg
NhoUUZEd8WcYB3ZdjsbmKWVq+pQVhrhDqNYecM/Fp3FxtAMHO9REXfE4pFLzFoipnWqHi8Gg3jvD
RAA/qGQ4mVt/JPBRu5vW5WY5sV8SUmqDKi+hVzo0Qokmp2BEorhWBJPg1vQHw7rXtla/GErfPCci
XdVwYg7Fee6CDMn8PFTLk2F23JxdpbB+zsbJjNxnFBv2OamqZ52byNPFfEuocEOU4C91kd2t+B/8
RGLKWvDgGN6WG0r55JfoB1l1w85kwmEtBBq1w8GdWJNnlZOiQadlAgrQ2VzMMwknhmRBNtwOZ4mr
yR+1UKCW2B98BouNj1f0x5rLMFhvYSUcqfNmh142uw5JHz1027adVmIrr447FH7eZJ9ELB9ln7m7
EW+yzIxzgXzVAe3e26JnFFytR5e56JziVSLlPkjL7nUdszcx1QCteE78tlZIlB+jfkqCDYLluRNW
6ZtaXTxZet2d275G5x7L5FVgzzzk+FwD8gNqbKMOHiFDBW3S2CHF2Nq+HPBdjo8LXNM1npPslHGv
vZdLlEZ+oRrG7gHDKv4n7oC4EhdjNOHFWrvE7doMpxh5Y7AY3dGQrKeeLfBSYItlGkyZFrxMrWwn
ZREhNhW2DuQo6VprS5eP0SnNV71N7NsAhFLQWYrqG+E/A/cPGvYLD5qdsCV9GhwgqkIzdzXr29Vd
i0z5Gubx7xv1ZCH74fyYztt0jJsqTzwX3f8buazaC+d+AmC4lF+Xqpj8BYw9CfIx6e9ZF/qW39ou
vsrFnb6j1+NcB2jgTpBCeS7wJVYizUFv7fFVDH16P2kLt/Ga8yHAMc3JXYQUefW2IWXMLBrLfSkM
2R+Tpd5Yrjp9+jLrSnwaiZXHxqnAqapY1BVIpm3ju6vN4j5GyIjEqVhcPMTxLbdYIQ5vfNtU6aex
mLsjdBRjXDWa6Y4TtX1QpChunqwbjLoK2zwWv3l6y1T1PSlxagzr8J1juUbsT4pRVW/N7wUDH4Tb
BmDlaRmQSD/qznkyh5SVouZPgGOjv66yThgpdfFG8gP3El/W+6tmyf4blsgUXSttI7tmnMSPjIF8
hzZdHp0olldY1uVu7NBkC2r0jp2ch12TFuJxlDYrWqJiLpRW8emNibQOmhZ18E+YmchccG9IV+Ux
Kk4fvDvUpQy0qCgjSw/60j3JxYaGxDNNpZItND+LsuI6aHJ5BllLdmRCYYmeXJ3E47YcPBxMMuX2
y6Y4UEQbBMqIxLcaF/0U2oXennrigz6Zg2sEJqjsAa+bdV/MWt77KnJmqGjT8q1WMlXaNDVi02Hj
W9IdjOKe8lUigjbnvUow3DpYfR648Il11tzxWJu1ea9PybtLE1Tlpcy0CBynLzbpHn5vx22Y29sD
7jXEXk3popdFkhhhfvPlUG5Bu741KZneeutZZn0HI1jz863xKW7aYFrzDoOps73iNtEDEpO6cMzG
OVgWQ3lR0Z1Q8XLqUFt34BSY7HpLi57GBlOAGuXXJRqSNcwqp0WGOHXXzAH8IvZXPdl5RK5WhryX
EOtk2yVJFj3O1ZzuhkVbvlC3+EGklvBzN7Lvq64rX+mkYUXMyYhQrps+jthy9hMRO6XfuS0hTbAo
ciNRMXLPKbAkp448y16SUR+elAnhE5rUN05+aerpWbgrI0Hs2EYQW+zJIld+tFnL87LmxoGMqWlv
Ly4HNCSoMIiES9RQp9akwttOrTh4hMot0cojCPBQvemvy9h03jL2K2jKVNyIWSPICOQKsTm/cDJj
Shnsbu/UjXXN5oxMzLVIgzU3v8K/RWcGkexSME36ZcuBZk1LecZ4grsqy4pwhfu7FlkiPittCwk+
mXdZaq2HfhjUIW+a7txsRrpDD64/JagYCeliH/SGZiZLiqml3Q/VHD0n0yLvgCv5VTJIQdVW9hlq
2njgXUXGL+21uRrRKHzYtWrxkAubyCgaGojI/lA/17Wixwz2hTMgrNtyIjclJbJh4+oBS32JN3u8
t8bmQYu3oALNu7YkfRyxEWWuh7ewPscEduleq2PmDaBVyJNqCH92t/pnO0u6rWYJpUL81vijQDqw
G7QiOlhxwfPVfWPuDQaFMyLpQ0Hx5HtOhIMREuU4Ky8WVfrK5/t1NVsKxAER2Lrg1T2MrxzbliiQ
Wf+mE9qxT+wUYyHGNdF5NjAd4A78nR7YtoUrY7NGGc65hFLsjOlMwpf0nbYavwyrtT5kK/tj06rM
G5C4k2han1Ul+t5rpGCzgTNn/m/XJH0aUHwDF2dY9ayYFXqo9Qe4BhTzXL8lJjajEPkPmqzSl97t
1A8YOPciRuOUjpnVeJy38fs75txVrIVGgflPq980CNn7+n+zdx47siMJlv2hYcKojctxunaPCA8t
NkSI96iFGTW/vo9nVnVXF9CNLmA2g5lF16ITL0WEO2l2xbmm0lesi8mnwjTWIrebjzGAJ7GitEYF
faItfOJdkHyjgXLzsJR9F1sUMQkGURmVVXmH8T/Rn6ygObSTI05xSYAcJAUGk+EqolvGe0Tb8COg
FuSFXj2IE+ozb5shc7PvCLGSawIVy509mtmezA691LpXrwhD72myfI0Tg+VZ7+ln26KAkiqXOD2v
0/SNduny2s0ws3gKiXk/as7p3DVablOiIB3AnWUdB+kAfm+q7uVcLmFUSe+O1V1/YzXFuKfqNywh
Sl8H+DWuHTauqOXEI61QBq3GDs4Nwc0/Lzg5ssR28fU9jpe50mltomLE7bSXBtiTJTHkzlCTdX8d
hzr7Bs5rx/PogZCHES4o/WsO7dOlcGNnb3UswCRdZT+rvMvJOpBawe0RhDkMZ9i1/VUfN3Jt3mbW
iO4kdCkxvKhljTpf16lLmMiPeROk1YzQPqQgA80RoBFtmbMA3RZ2lUXIp1qoblHw87O1pzyq/377
OzNTgFN1pHoi+cQZdF4sG8s2n3y0/TAVJn0vnqYb/N3ybBTWxR2qZXsFLKwsd/Fvqa3AS0yn6Wso
YNKvWjnKewfzW3NFWoJbkZrlAyZt8GgZznTBwPa+LJlUJ2P28NUqMRwzDccpjOOCBkKdyEeH1asD
ofi3Fh36ygrUy42dTvmWJI3e8Sol70IB7K63ygfCe/l54sy1z+jMrJ1RvqhSJ+DaVMpRUk7ZsyKv
cxmh+Ewr0TvZy6QWPAJDLoSb0gFImL3cUPuvwiqPhmvNwj+0Sb5LyjE5uiVALGql8pi57m0T5SD6
7FLuq3quDmgZQ7ikTck3YhqP1BOW+yXT6Jva90swg7N4i8B73vCVsF8Nz36QOnoOpma8JDqu1n7E
LS7XbbyGwpWsyym7T/AJU9JQe0f6fH+CYD7NWYPyWkzVbV4POqx0frA5zt5X1Ov2I5eoczCXsK24
PNk3jR/Ue3S/b9k2T46YT3GMYSQN91ipEtNGsA+/z6JJvCXUjbZtUQY713HKZ7P3eXB1eNKHKquO
Zu31JzQBMiGOO61T01IvBfXxG0leltE2iwqGxqgGR+eBAiKvpEJFK3IbqzjbW0ZKrKOGtFQKRbEy
7xAApn62xKqJ8WUTRxT3PKZhg2DJTxveHPUWT1Kcemv41WgTraeNSa2mI9JegRV5y3PLDcl/zUfy
BPQQg3h6Grp4upVVNO6DXi4PRCyLzZJGSFKBWT0oDhcPbCNYmzgpm/e5GDJIHP00nKZSAJIJTPnb
m+zoZWhziq4Ll1IU6UjlfPMXkFIMX7xWaTGvm7RGNUhqY51XVr5xKaQdMrBphzLxrXsz9dJbu2oR
yhfWean72t0FbSD5Lkb85FXaVFSpESKJO5jeafZa583Mx4nn2dKiGk7uqV9m5k7mfCrIbaX4Ca4T
fKsocOh5mvE3IiFniOwqRdkqu0+5hJdcBHr3KLu3qxT0KiJSWStIhN37EnnWC+pG+k4+bblD27A3
cRAZ8HGD7FdiOObDDPzoMEZ18RRlUbLBFuB6D/lpZQeN/+gKU+ySXrkhtMnkYYixz8PG6Ytjx973
b9rUw2PF6xVjZo7uVKBcl+xEUe7LLnM2BgjDY1/a9pYhVVyFVlbiUhTz+I7M4t1gWRUbWQMY4SPv
tHc4Bs5j2XMBN+o5f8xr4ytrNVh1zfsToNARameLnePqu1hN5qcLk2TDzZkERlV3gndiahAMgm7S
KRCUbU51EHlmeKD5xgHQGnu9Llgq2S4aIaPJgjFsAsv8bWUyOpHQgY9Nc1Nzr4365OJxOKB6PEXH
suZ7OGrFGvvEVZ+rM2oBbpT1MNZt9JAFQb2JCQI8VVH6yNuVM4/LXZrXL83H0vfx0pL81ObF9OyN
ybKfO7oEjlGQtrY41q45I+evQdbMiNFGlLwNDujNFWPmI7ID+jaNLXwhA2Tt1he2c2otb/msmtTb
yQT3ru1KaJdcOUOqpryu8PoeUcOgjrn+Nd131d4b0be/CdfMIZvF7uNCo/IwzH1BT21uqVGnwbHJ
Rw9NAyeGr6padQ4BeSidPrrC7BmAMpHN+VjiYJfTLUWA+3IxO5Jx3bDtg0huSZNx5oxTY1dh3Ty2
A+iieGjdvXCAlIYtmESXS+Usfy9wlXhTLNVzTpqcs2Brb9PCg7PABOytznp950RtfkyokHKFJyi4
yn1H8iM3f/HAMW4GltK6jQeo01i5RcEz6H+RFcuyK3Jnmwyja4aFrH+5qo42kxsV70U3x1goRIaf
vQL/gz2A4TJUUQZQph1uaYULkkgVYdh8gEmWOFn1Fyb5/+UgPFYF5vC1vvJfp+HDJPnsurSNP/V/
zsL/xx/+90A8u7OOcKW0MeRow/89EC/FH5brBoHnC8cUvMH5K38LxFvOH6awTBEEgs+3710hzn+P
xPt/8JHgneM5Jn/UJ1v+L2Ti4br9UxTdgx3rEC20pBWQtP/nuXIRZUPO/01bn/68tZ3MVodjm3GN
noOKkSe7Wdpso3MTfu0QR3OGck+lZE1aZDJWndc54Rh41rkaqdzX+COkTqBknV3fLx7zdDSeXCSb
A9PEw8Urq+TEg4Prt3ZZpWeWM9j4dgMMsWqTn8GWsKDQhmSy7hI72UeTV7wsMQyOMALVforNCl8v
sTwE8TGa772pLom0LY9gjK7+OncanrJ0Fhlx4gylT6D2qhCAlrC2c933eRhNBIBDv5iNcQc1V92m
9UwWtC8W8Ri5afFmM/71iBhAEEtY2ZeSc3wzF6pEcjYAcMV14H5MieMT6Oj158jlIgzM/ICPQasH
8g/N/MzMQcGiltF/a4u7ZsmzTUVef1VZ0ykWwPlN1oDC1NbW1hRFHAKLbNaEwswv6JRTyTO/j2it
yDQnh+7lXyPslWmVx0XwE9dk7CwvsxE3fW71dDtZyV3HFp5b54pxE9j5lV+V0k3NYuvI7dkIuYE7
YedlHAlqVMi0opLrW1OaY3DD6i6ySpDInlS1SZwlt9d0OP2b3huzz7Ryyl/CIsmz09SX6eBWQ8ua
Lfup54XkHyI54WLIcUxghMH1oEJpPe5WpOR5mVvgtG46OQbHKaiad5TUtgsBw81i5U0p22S2D2AN
fnDyVhYllhJVo2QPjcsAOnD1hNA8wQZCMVUVMDQSMKs60gEHNiqOe+6b/Q8FeziKSC7TnmRFAHnE
ByFsxR5uWQMjYOXbMm8wCc32uXNs65Jj1Z8jD18Cw6n+jIWdZCuvq1Rw6mI+iiGyfPOtuF2+twHB
8jWORApUN9PNh4nK3KwWArP5jvUG/Wj6dnBxHBMUK2mQ4JwROrqUiVKKKyIIv5Bwob7H3phe8OZK
vYpKYfzqGw7Za2ma+s3x8/KLO0q9A1fGX6+tYHxiSp2TT9yVcoJkTiR/P1rXnNdgcJ3oQHFwALXG
ndFNyJ/JOL4EdKofXKCbB5usJt/bXO2hUhlkMxoY9isuN2KtYpfF9Ahf7ivmy3X9o1EBIlMXhdqL
tM30hhSMPAxu6l0IypA4sJxiEq+x4nyPQGvTqlA14fGIGbiV7Gv+rWFjEh62lYhXLdQ3EzlExvul
TUjrRB4IXmt5H+Npw24Eh8PR/q6HQKahyDP9xTv8Sj8ynel9GrJqra6BSWrp49M09s05wVFCDXOs
I4IJgq4bd/xlLgMbNU/t60KZPFnHbecQWB+B9U5dfcR6gHhtw44KIZ1UW5ju5IYmGe3nOdnx771s
argE4TBOxLntRO96kn6kXP3oBbZcGVadDSsCtrcXGmaP6T6D8FM0lUu1TpYK7hxCjTDDcsSm2VhR
7qDYJyr9lcHHfAY9lpxEbpK+VZ2NgGg41giRIjDNrbJsDSVTqf69pGah+YpwbV3lKWGn1VK66tKg
V81b6gYUXsqF8KVpgMDsaFpxz++9/lapax1krmCRd+RR31rhR0zOVD95OWAnV5rn9FAAckiCPAHi
2Rsu/O1APYvOym5AIVDgDpJpeHWiWJ8JNSTv5kAKGvREuWxwBNyWD2wE5LYEN5LCFcJABvhZ7OOy
+xbqKmvLaqiPvErcPIyzQv04BiCklaF7zmdVN443hPVpdgRuPLvr1swIyhltDyHNgfkhEW2U5+/7
oEgk1/DYtNc5zOpf4JfrLhwnH7kMaljsDCXnS62OkUcXo+QnJbhg4EpwnGbKbme1dpvsATxZWyf1
OrEvF6gdYRbbV7pD4cGjyfExUaIC4bRAlDUAs3GWR9HV1tpsW+A1cpl4OAVkPHBdSwIpaTqti1Gp
99RvKb43gZT3XaOtFxYIIr50gGeJX9XWc6AH9YaNLgliFjFEHx89eyUhhNw1nazuPLgqz2qmNMNj
w+Pj47doBtsZma5ct+lwM/sdIqszOfFLwMZ7uZ5q3/wtlDDliX/DxF57g1tYq0TO8r2bpKh5QVnt
Dd9bt9xHjsUVX4+u98SzSZ/JqcN/i2prS9GMVbWI0Hk4GXhWq4KjdRICsze3hqrTM9gZ/3XOriii
eirvctLhYWEBIAigjF8ofqBULqaJw0tdBTVVvfSxAPSBzbg25/69Eb791DWDc+HAba17Aoh7YGHi
SYna+EXuaopWVmzRkLZr+5CJzCeglzrRUyli/+LX6VMN+fQS1TNMiLnyrxCLLL8YmQVM1WnqPgQp
4IKgBumRbFJRVTP6q5kn4exnhK6jQk7XT0JhN58pN+ItlfL4WmWmiE2jdtxDC/QPXczRYSjG5bsA
BbjGlWTyCZ5Vckddoz2DafA3zeilH2mn3yksL7upD6ZdxDYaOOUy/Yz6mc0SOeYP0h8r5C2XpNCQ
VFtljBIpUxIZqEYF16VPEJuttrX0je+W5QdKyVKspGlNciOK3KQhpoVzKGKA1CEyj3Pok7R7UstY
077QyU2QCwaY2pmNJD/OQPrVUHtF69g7hwdQWOMPPbm8Wu65VdkxZBKo8qsrJGdDeLf9XGB2olXY
tJh4IiSHoY4SxOnBehQOGrLZB9mwosHon0U8eI+2S5Q7LJzc3I2tbe0yOcnbeYF8dKraayIoEElx
42V+8dnMQfTez3n+0Plm8FurAlobnwFyeazquVxP0fBG/j/aaEI37qsCPrhD9MK1+RWvKCVHwHE6
cuedU8+v1gLloKGVcsmhL3eUIHymv+3WtD893B9YuFmcvHBhSvQWumRt3BJ8S05OnC1rMDZRtLMT
UjLEtft5PADPa+t9R471dTD4RlZlOjxQp0OiB49xN1qJpcLObTsaUAaPB49w9M4ri+6dHEF9r6Gf
kFWM+/TYK2qIUDf5ruLeZaTV7PmsPQXR10DKvucAO6oVTPrkDbQT2atiHMAyOnliP4lsUq/ICs0l
aDMgNZ5ebmXvxQMRLMeZ1q7S/Ea1ThdKNaX/UztEnRG9rfnWGKLq+Gd0WhN4GkKN5Eq9w/e+l0V2
AOO0M38SXsB5aMvK2GAqDF9cAjN4KzZRJ3SXgKD3Mt4PeQd9+c//SuX4mCnEON6DwX+ys47g+jK6
BDtr28FNrJqLBDTMfRdUb148QBtO11MRt+egTBy+s5HDB9AZuOdSxYOGPjcEUW2LX3xEO/W1wSmn
NgUOJA8p65Yp9qW0XzJ4MefArOuHoK69h6H0mhsuL8W5jefizbhGAUKPgPN3Pi/JbslpFIaYC/Dh
pEegqC266UOms5iPNSmzeZ8H5sAVubIgAhJ+mPcd1P7vqIj1LqoEqSRoVhwu48ZvajR+GdxWKl72
Jm+uX4bZer/iONL9ZshyuizkBKReewyp4G0NNlvYVh0QqQrg+OC0Z2+LYSCpkQe1gQnVAe+2ZHgx
8yB5YNOmoETWL5cltbtf9p8vX00gcsUPnq7gGEcPpLfbr4ls2Q1kveYJi/5kKqoPlA0H7xM2Bt3G
0ZEJ6R/IhQE5lbln2wr8rsz9cS2orCDWUd3l91zA5FqJysnzfd9nC4mOK3uvxSGFzt5b7hujCGpa
9aqDACzYFcQDEs23Y6huP9Y6valxcO9p/6tXjUb30yo32EN0MuHdC4TnCcTdgYQEfGMTvZHKY8W+
pxE4i3HIKyX2ONYTHoUNLsedk+6DvTmHrQLd9WcymjQSck92knBom525EqR7T4/WvqHDQrwd0u7G
pIr84M6EsxEgmWBZ2025KCxf4vyhwBsgV1e3x7LMIm81TJzl1qCP6gu97GVPZ+t6urH7jN5Im+2l
WxFRGJH2H2I+mfuR0MGXrJfy43rL7vgn2GWxRiQ0HkWv+0tZmPo1n9R8oLhA4IeG2xy6drSEDQ0l
/sogOGJQ2Tu1gpReHcQ0e1I7qaOwLgC0lnWhEyyKNL6z6pL/hDxvfIfvQ5bd99Q6dWd7Nl+XEsGs
yC4GUw1ECViICPXiuqc4AZm94l4pnjI3Ch5Iqywbh2lAJyzmnvhLpqC9k6iz22ObEqBde4vjsAtB
oRYLUgmktSo1uJom2fWlnJbuXnctvxqO8aJEIB9AIh073kifae7hqFVp1FK1oH2OSkgDyFknHWtP
2BUk5Jaxw8XOAU8PhIl8Eq4i9zaMJSWIbKTVNf7PD5tTWDvTBCiTYyS1HL9PtAwJ66SHAP3o1xTn
5HZ1zpPEiKPgXhHueS7d650CAnWxJns8kwmRJrpWb9rn0uuoVYmh2g+g6mFIzonakoqbXsCCWWJX
UoM9GGqIPsiwpCpcvKW4qQJktIOt9RK/+v0EuAmOEBbwn+rM/2mZ6gbnp27r390/Axv+E+Nh938P
1cEOLGSl/1rHWqXJp/5HmMNff+Bv2pX8wxY8XQV58T9pDpBL/oI5SPsPkiRcz8EzuEzJ/gPMwfL/
cC1BVtlEVPIsVij+XbtC1uJPQMyF1OfaPvrWv6JdSe+fMQqWQFSjY+G4WAX8Lfkv/Uewiho4z1G5
tndNZDpPWewsaz5y1RFea7smL93vBlW+J3k58T2RkpN9WZ5JyPaowPyPs6tovwLWdPLXLElSnvaL
d2MGFStpIIYSsvGAf/E2tOdxghkxYEdAeecop0qwylElDnkwe7uYBPlrQIH891L73WsCRZUQlW11
d55vTBfMKNi2rTBCR8FjJJZuHSc9WA99O6qT01b1cTZbfDByzocYIC5XP8u4Omk8PU5N12anrOC1
vyK7UT3labSIQ546xonzNWq862QD53Zv8BihKqPnqc6AcrmGe/KCeviAHUQ2IzMgAYfKn9MXgODi
OXLnkeyaHfP3tmsi6pTuaCTExWL9BHEEIZxZtvqoWyikwCpY5WL0w1llIBbPoszA5uo6wDKs/ZJd
B8/W90bDpg0Zz3S+Z8ko2w5MaNxU0skHHj19kqPKuSWeVTf3vwmIGQ9w2iMA12k0fjYmc1SECvHe
aWvN6jaZcggTSsiy2Ua+g4EeJzSX2mWeDx6eFEkq8um0NTDzaFcxHdb79ZldLfeQmSbJidKBNluS
mdhbvUvmcLJ/J921vu0lZHsp6zt6nxk5bnAdiJ62fSf47SZ9YOWrRZKBYF8mJ7HCNNjciWbb+iae
US387WDb+mfuijTlpxH1u57y0neTm+O72Q3eEU87PrlJW9/TurKeR1pDN2DmMxezgVfg1m1EZmwm
Qu8k9R2M9NDPPPeIXTzvSWEFWFlVswHUQS7WrZ3yOA+Vz7phNh7drhP3i9v4Jzszxo3p0d4lrlk8
ldyZHh3hwKevLVLh6WJQR+SSLphKcYngCEq5dw1NX45suexuXC3ts6toDwjTsJjiiqhi9e1ioT2O
/EjBTpKtMo0AGy7uR3uVB8N0jmCmlGKJPgJd5Ucjd5x3Hxf45BszEoGlLX5MtRncYtnVYuX6Fc3z
ZlBuHVatvML+ggx3ihOAv2zNaCQ0JtvFPrQUcjHlvNbapPOgH4ya7L2cs40YU2PtNuqjoUEOH6Uu
18TAjBfl6Im4Un0UU29s/T6q1+7s3HUInxNqybYMSB9G2nmNknRT9la7rWtfg1Pxk7Mj5EguRn1T
b1a3pacflW5+B2kbhZENoTYAgtg0bdgtznhXwnvw3cZhs+Q692J5xIt5991FXPWCEG1+8rYjTES0
K863dGwnrqt1y32S1ULuOPR+jtwlwlHYCFhM79A4XLryTH7L2/A1HJ5591U3BpeulaaquiscCJf3
nQeaYMVqlJarRRjJiFY0yY+ety1BFoDnxCC7OPkmMypYdpAW7daaoa/giKaRJDu754dDSrgwWNSQ
I/+S/CHKRbUdcyGaYLAb9Eo7+Mmj9POf1K76bW+C4r/iWvhYdNMOTLKzE4MjNiTfmHXSBMSHkSJu
GUNEYG0oip59frRh38HAHBtYxjArS72mNEbmBlGbBEzW9VvWCpYbUiDiUWZ6+ZCmottjpXo4wdSn
aMd83SWyZLQFyp/+buildIRiXbSzpRPzdsQt3kCSGdHI0EDZjhxQIQgC7lWOuMxROk/3c5SCxWW/
Cd2s9a0b7TFWYedBuqf+h8ZqaZePw0w9I4JkWDZ1tymcangUnBjfDNYbj36pZsDEGendlvP1FQ3R
XjLmEAfgdU7/FZM9xUAO9kvsnvBl53Mn8uJNW3FL8gDpmVvNY98MOQQZmT/M7DXceWyv3VlGXu4k
eu5FVecm7Q7lMMzAecD0AA0anoPAHrYAFoHmZJOvDsSOjVvRVqI52Xya7kZwumcKGGDBc8iuR9Dj
71EQdO++kecvKu3rG37M+X2ZL85HR98mpxkmJioZdFru4oTCSMJGV4Yqs7Q04Sj9j3Slw5YDKDXG
pVrWY9SnGyfoT8W8OMg/A+IZTsdJGwPw7qDgV7eMebEtlnJ5jJYOoZ+ydP4qgVVs5gbeHpdH++gX
DK9dfZQmbL0s+2FIj3bn0PNLKiGAPxZMTWz76z/bT1P70oER3AK1mfeW2Xjf5pjMOy+KefQRKJ5D
uyoq6L7mdL1rY9qffVJK1xJJsRtGXveNVqCjOb0S1B4fkqB141VnxMjoLPgcgmWOmaBMmjCNouLV
qPoF8V9a5wWDIV+ZVLqPjUMUKKwS2zzgAfxQzs7XzG/mX+x5q3yz0JJ55kTPLqLD0aNaB0r756mR
2Y0l2xn1kmcr5cVPZiNSPsZ5dgukIr6zyW5QFFgidMFyZLAKwQY4JuNUtrGZ46q+x9wzu8Oo0uUJ
td8ia1azkSla7QERyYfnKTN/dE8pfsf5npGEmICrH7TxL7/v4m3lkZ8CRU4qDzAhxRxnDCYMY9t6
IV40Pvk8aj4jrlY8dAExssmZc6Vc+ZnbPPtzVvxiVwsuEe7MukxSKP9QSt+TzLK8vc4IuXWqoSDA
Q3SKgc7Imhj/QpzsLYjir2tLkq+WPCnaoJvS4lLBLNK+UuajWPg9z1k9HmfQqbQM1ErARgWpMi4E
bZrZYhCGL8m+D1L3NFWZ9zgQQ1qhDaNCVUEHhyrj0EHGrf1CK7ulnc0vCojdwWoMd6fgTlkrBcFl
zb5Nsa5ca7yPIz7TTFfwai1BITS8U56Z0WPLnHopSrWpL4XvTM852xhXTd9d5UXlka4pSM3XrvFE
xXMzOTMajbDk/diyk6dpIHIrTLNXc2bKctBlv9FD1fxUOst3I6WITcxxa88wTPAGmne+i0yv/hla
a9oSUhq5sTIe8qiv9WVIYxxMrHbPLEhyTuoeGsyQqI+gYjJnInr02yfgGjaRe9dYOj2VcCWOlaXM
r7ma/0yoS4s1uqGljDIPRnoqACUzQ0uO53cUifG8EGlFwSkNxsI8zYOEa/0XM3UWRcwWtxT6/24s
x/TizZyjmJMMtn5n0pvJ/OYG/BVCT1qVoRk53kq100/pLRC3GnXbS7uj2di069lkVVd2OGAUv7Ej
OxS+uR/PHDrTdRZUzl0xWLR0Gx7r6H4OpYmcAnh6njs4fMxlNGZwR9+x3ZZ1dx1TjFP/oW4aSomq
EeY2UcaJZyIrIYhbyVOpeK6u6nmqMInGPuMYEajl5HugeMFPGQ9SzLZ4Z+1E+schaiEieQ175GDg
nN8csup+R4nCfOElpXbTSP7Zd8dYHZdScfbTMg9+aOZgxyxcNz9aZ6AYV7g+ez79ciNa44bBdPeB
w+R8zAJyVLZo6ZjpNOA0d+0qyjJLZ6ZbTW7eI32NJzTeeF+2hD2qAgQFt+6T7TbeLU+EbuOquDx7
eLPsWQByeqMYa5+t0gBBxjlzudWdJNDWCOW/F5ysH2tt6TPfV7fn7MWgjVbzcJ8bzPjRd6J8giRM
GKjxsOVh+TtiTcDI1BQ3quIRV9Kilgzo6J0CRXm2W4ZPQ/rK7q1dc0JhjIvsFIdVDPMk9uoL3SnX
Q11s0WJQWFPwRUrHyyZe0PJpLjfJq8BGOumm6agACMc4xj5HDGBchzovyttBuF6x7tryxho8/17G
wrE5gNkUDTLUhB/GMcyvuOklcI/cf6dE0R+kDMgHE/FHRma5DmE/qgD6Ql6QdgCMfKoo5RAFh100
yidm/djH0tSaN5P0KZt01w1L5e4QJwqWvxtSoQYBt3DOIr3jqfVJeqcDTMeAQCKdZFdI2BJT2u0S
K75Yyv2tzCHeR1VtHKYsguhCAFM0yZWuc4t9EKwGrynXBZSyRzFqRH4ytrvILXArBHuDCOc743rF
IPa45wexhEyGVDVnQ/5NIFdUvwWtyXUaG3vLw6jgF5FigvPKSYH3rYM6eQ30SAc1iZ86lnSwquJn
g2MHIttA7ynr7ridMyk8yhvbatUat3hvp8g5XEa+jMg+527GaIx7hXYDbCZH8YGhRaaAq5nbQl/v
WLJds/Y3YyQk3QF3maT7iDDletGyjtISc58AVZgTdFunA1gkD+snHAu9ZZSLlbDpsxwU/dtkz+pO
sq6d6m7p/fwy2vidXiIWYHKLs0MrDgihBiYN8FmzbR1Y9jFjrvEhamS+c5g2CWPFdrISpC5WmHTE
vBpgeAusMg6lxjzsJtOFChKRDgmZDZxtwo69BB5XdPqMTJql4EH4+UoNOCmfDFhntjPsHQOvtjet
/q3NKvLDSVJwYck6qpYTNgo5CmsY7guRlcnGi5vgpXDK6ZO4fXRqPdTwvcbL40DjvsVjA2WqYzMK
3BgQ9wlIgpk+eE08UUiybQD7k5hWvDjwwGFAPzJF0ly9TscTOyMv2iPhnI4zqGS5CuZF8woT/dGe
+SiKTj4xJeqeeMCwq5c2cj8VTG02zCkojzQay7t4pG0AR0AMvyx8JIvTqZC3BFnknjtWhcApmuJ9
lhhORNlUtqp1NHzwzUrD1G3YcCrLZFciBO4mBkg3LjCng8X8Dk1pa9p3EpVgJfHDNqmlmxP76ggM
19LDS4z2/14zN7zDOu2Zq8F3eJYcXBxCrmUxwRmi/f7/1bf/CVMV0ey/TZH977b9LP9RffvrD/yl
vgXeH8LkVkGaEnSpH1zxrH9T34I/uMjy9/YcrvXWn3/l78kx/w9SYS4+p8cfZpoEyurfkmPXUJkF
SVUSJ3Ov8pv5r6hv3p+k7//Aqcqr4gbn9arysRPCP+ufoMl1Ajw+MVp7HyU8PFdiMkgd9GZkZztB
2KoikbkUF5kSNAD2ZcsqhHDTYSaRYWFBqPMHRivRHjXZp87kqSAWl3Fmt68pA/dRCgbUMfYSu31j
oQH+ms0r684gEH50XJba6f5JAiTBkB4IHW0yt2ovTlpZ9wEFxdsYDgc9JaM6T0SzDm0cgTexnEfp
cL3nJzjvBIbWuoZHdpO1ZMRls85IKWxcj9tMWYZ+0/frRTOoDuWtWlnXbOuiZb316SKvGSMD3OjC
6alVcBPFhnk7GG28Y5b8ozLTlAWNQq4zKFmw9NpgW7v2D5lcNxwZkwYoxmZrk7K30rrLqp+i+QDS
qrtfgmA85qlIfgLlDTgHZnuszO7TnwweC77QW4ImoMdZyb6RKQGbwTdvOzX9LD2MEbj4JM0z49ZT
JCmy5YtH+MGI7XVXRq+Tsk8Urc4OrQg0uGPpmLs0EeD2fGV8O9jd22iyf4qi2bXOVd5EkCKqVYfW
aD/FAT4C3epl46I/gphlHluZ2Ssjq9Om8/03LxPnTJvsYfjrsSUUl/aT2gQxJrnsDVyxEdOKoy3m
Tz3DznN2QEfJtRTdJdcNvuoytSViA3yVsXG+ZgZ01yUX+fvF9qy7uXcBlLFA88GIHKhHXrnxtxV5
WOHkfi5kPTjKmqPzrXVv7IpeybuyjNHJJm/+rYOOwTxGYRUFqGk5AasazzrJ74TZpL8dzfsPX5qd
m9jgrtpy+CEH2P00OXFBcrgPpgqOOUyt0IxNDqeLoe07eh9kigp5YUY9WI/e8iCT+j73eTHEo39Z
ynQ8uEORMsfTMUos8si6AN1U69Sdvws3m7bSKD5Kux9uMH0PhvVv7J3LcttI1q1fpePM4UAiE7fB
OQOSIEWRutOW7AlCtiTc73c8/flgV1XLssvumv1/RHdUVHSHWwZFAJk7917rW+gPV73RJLe2TTKk
DdTqMOoOHlALJFjMmSxfko7YjqdDm9hXQlPmbRs0jTjaNqM3fPy5qDb5pEXQPkgS6rZtho2EIKMh
YLLsLieyuOeX3aSl4r2LrQ6RuNURQOepGVnajmOqxS+MFuO2pkyjZSyzBuM+7SGQb9asE+rSV7hB
S2ydgdfYKCMhNYWRhdmz8O2NTw4u3IhY4AbrtDwcV3lQA1TQVJS1Zx3BWe06NJIGDnFCLNs9wDhm
aLzPTjtvkox5EgVN4ayNHpHRJWlG7QSjluLv4FdhOmwdEF2kQ2BjdO4yirlin9DiKl5KNFQu1wU6
sNUb4qTWAeZmC627/zVBhuRJjxxTjKYBJWuxCyVw9FVh4pbzWnyM4dbPNKd5Kow+zNaFcKDQCs6R
S3sZsaduBNN9PvDGuG2MFTyonWlDdDg7MOTisDiD05UCx+o15Am4FJbIuyIFGo0yny+LzDi4QMrr
+Bjvk1jnDWmhtxgRlIgkzrM7ZFDt8+BXhYKEg9gA7FEkkmuriLN4O3cqd7yspUV6GSbIYQ4oAcJd
0I9QEJGfATThQD7LDYqGMt5lXWiLvVXVbfqFw3IXbV07gZBkZI4PFrIXqOtdYmarsQtvUffqHkd1
LtiVyaYVMLvu8zK0u/3kj/TMKogeJKmdW5phfEqsKFxGde3jgDyVgO1wrC468hew/jpzvM9GpPsO
Bl963whQreYUt/YpbMcHJ4/HTZNX00fHHCqgDWF6I2PBshcFwIfznN61bRfbvm+cj4FRYVOQrZo/
CX1+GqwORp7e5R8IAdyULseDBkVLBmnpYPH31kg3UVZTgI5Dnx3buk/kztV8vlGAbAtXjmSKVYq3
+GqqU+Fp4UjLnsqvJQDORl7qGUQfDQdW7Q99q0ZiM8KqvYsJh5a3fsqkcpvaNt54CMQMThcB4IQ1
fbw1U8h2Z6miQ9wj9IHjbIvwCXYM2WRDlDXhIuGITnUBF+YT3pK2Pp8BTGHR7aOG0zZjfxHR/cIh
83kMY99ZIfon1dsBDYF8tVw65A3MtLHpr9t2iq6UxkCgR5184cjuZiIia++HVoy4VO/wN2E50Gbd
xqaZjh+X4PabUiOjdNWD/z41M4G91KVZet2j0ficM/I765J52PtMabTV0DnZo+VH4kbDR4mqo3Wv
xpaDACy72PkcYJ24T6MkrqAfow5F5twRIe630nlx0rk6lnQEXnzsCd06cgs7PUE4xRfBXKBeG9IK
Q9otepy+RI4Ft5IhgH6Z9L11WxTCuic7JN5FfWTYW/oFVnoUgFZZFabQ03K3PhVBVSJ8SoiyMmyn
eOmBez4MlQFBsVIhYk0zg+iIS5BjANnt1RVRJPIiIG43u4A8o07MZ6rsmJejk4CHKmi9B5HWxx5a
JwcZXyCdddyg/4pLNHTnlkjUU0Hs0I2VGM5JJwDymEfYRzH5+vb7tBbmp7lbcm4nVtWVnU3Bg9Vr
YFtGwdQvnVJAPxO0JMewrTMff7UnAlNApzPafa8IUYV0hynO7AZdY40gGJQjTp0xDCeUnjm7Ozfv
x1Bol1jqMNCOQcOQymIwBwdMo8hfdEo5kdx9lU40rtC3Y0WfUi9MEcA2JIMRUCVlY97UcZ8+ZE3A
Q1cEgVyYfL0vUVy48GLdnERAzP9d64M0NLT6DAsD+18VoFa+wRSsTVecGUPjRiMqE1tsEWOH4QiK
C6CRNpleJW6cYDMMacAJR0sYEkUOhq9dUCP+PEa5Zk3rPh/6GwHOKDhX5WzqR3I+Z7QZRAI59OEW
xdBIxNUca1N361ecaz74IF1HOKgI6FE6Y1nQvTzhlXfBsMDzBKucECGwG9rKPfljZt0gKx0w4Pms
+9ZYRWeamuWZazrjpjQi44z9LLuSM8YtXKDODh45dAm6a9A/CFA/Nr5yyM3FcH+IZMNdKMHiDDwQ
fU3wtoXuHLwU5YPUL4ktBeNR+7c6LzzRwpHvtRZ+2yYt+wdHdNWB5lDwPm4qztfNgGRVL63gpMwA
HjjVTc4dLuA1TU5VHjG7cU6WSjGhhF7hcFvLliRj4kdVe20APb1y4JhCLAzlezUg9d4xMx3QqlgJ
y3LWWrT6yzjO9gis5PtJ9BG3mSSqwHOnrrsbZTyUezE5KKmMOXhim2Ox9FGNjivClmRwRmPf9wTn
D6avmXuY8Cpez6q4rmwx7ojRAK3plsyl8tk8wkR16M6Yh2pG+Zcb7SmghSNWOAkOA7DORzaM+C6w
jfSpZAyyq5JKVNtBagmYo9rPVxxlqqcgyCnBCtPfE9c7nBEjygZVjqHNbCyqY+HpjVTbStqLnRD0
W70DdxL4F2YI+b0pBuzGwwioN1FYVCqieL6UzfSlrTTsm62IGMkVOlGUTLWXVhw+xzj+JiJB2/Hz
BIklqOVXJ543GTQScJ5eAAHeqyJlTMS8uT7PiR47vVJg/CQg4meXcZR0EdExRGRM+72soZ+zvCC6
ddjbY83gEJZuvGZAhenk19dZsn6+/3WW+ysUSg5OhJznvr+OcDWjhXxD3neXd4/xssNb7cyJIJic
NERDnETPaY/tbqXazHB+c3Vj+bbeXt6W0iaQ3OZ0+/bXjNARakC6272qo3ILAqi9M5zM2hLPwGRh
aNIbp4JWhXll+phMBY45qoled08z1YX6WmYQhZYuhUduUffP4/VoI463ZIVDT0fVWq7iuaXvoQ1R
etUQxo5DyZ79VRmHBf5/9/jr7/PHX4iTMBJow0WpbRAx8v33SX8qtNOiK/czMXrgdZIoQMxURAT1
dqhc2eMD+py/CXL68aJSt3QlhENlatn6m2eyZlapesRaXDSYj9JGUp+12FCD88ieqsdf/4bLkf77
W8bFvtrSYAeyOr0R3ASuNIghzphfERjnmbXxNCbaNtPH9je/1Y+vgOSxNElpgQOnpLn8+auAFCNr
RFkgWSVBCuD3lRIlyrYgF7TGf/0biZ98f+TBcYqkTDTw2r25aQFKmticzXTfKnzLYUdJQUc6DI50
P2S3IZHQaHYuTlWXLW9orpKhk+raEVBVlpKv+1r9lfSVNyCW/PkMvST1Yf21Vvz1R/3hOxHC4NFy
aezwtZhLss7r7yTQFLmrhRPtkzDU7X3pdO31WIwclv7xdSSvvfnVmmhK9813b1Vhg4a1C/e5z2Fg
UwMwIbcaTdD51+v8V5J3+k3Qks59tBVitr+X5a3Dx/wp+sFc+tdPfusQ2tY7x9ENVwHrcXRlOTwS
3zqE/AllkKFz+pOmK5dIpT8ahFJ/hwkUZ6mpHCldR3F7/2gQ8kdLQhINQu6/4DGz/kmDUCzP478X
CxsDLTZV+Fj0CVmg8Jh+/7yCisJGlMUM9rGYv8/gnT1QXAQXTDUZ68RuPX7E2PMZnHD97NQy/zRA
/llb4FM7TzVD4dk9oCTb1NwHMDLFeY9XA8B0lD6ZadDd//dh/E861BiPl4eRe/P3D+PmMXvM/8UD
+S+c5K+71f/+4T+eR+OdK7Atk99gWvjy/92xtvV3ji0tR6dRi7pJXxaVPzvWPJASmJCDMNQQBk/e
Xw+kob9DVI0r2WSWKExDqn/yQLrL7vT6gVws2JRUgn8US6j+5oEsazI5VC6UB5zshUnZpV2bu9Jy
T7GPBVmnAk0nm/pY808goG/K2ULgFuw691M40G4mAeNAq/tD0lm7MjK3QtO8+AgJ5bwdOLTYqUdk
xUU46B8qQ+4S1BqceXYxUC+9xDTjAzBjEENeSQf5YeBn0QSlcX2mqnSfWPIGGsQlzefdUKkb5YtL
aFKGFXwegxDvmOs5aXVHaO7dPPqeb8m1CmlcZjpQ3M9zejehuIqzeWci97LVcGGXzr5j/CxKdZmr
8UMpFaCt/JoyzCunaQcbahXXLZEV/onjI21aX50aKzirh/gqI7t4RUoktjizPpvR6lGEAo0M7DPm
RDDqzR4Ft3vCW0EsKl9ZoKud9K09tTgCnvaL1kpguNlRwd169eRdf7tb/3od4rbcpB9uIlUWAwOe
Mzxp368quGSNJkRp4IHd3wTgyzErHoOhujKn6cquEbGGAPuT2fY0IFw9d+bXH2AZ4Hz/AbAjIW/W
yfBhjZOL8vn1NhxV2JNcYuhpT3BoK6Oj09UgVelN9pNpekloAHlIrB3FAEa6+UOfR4gthantM3gl
K3v1DPOnhgBeW2vaVRE0ZbINiO84jml91lUJ7honYDDdcrCeG33NsCPb7GhBuivYSMRTDqk3SJdD
eWpxnvIByLjyUI2gNch8otZsDHJqfFh443zTEeQFe1yseffuZWUcfJsWUtwd8iqszgt6K4d/vpD+
Zyr6v/1/LRXEX4GK/0PCEb8tk5yQfrFMPqdh9JPlkR/6Y3m0Ec27i1iertwfovm/tmuHcxiJgEzT
pGM4PPV/Lo8Oe7zNJm4JJn7gI9jK/xzoOe+UbizQBgsVPH+j8Y+WR/6i7x5slKI2tQRlrlScBp03
x8EoN0vSGoxqF9WLOKEaqvbU9cHwEPZtfyXH4dRptXabyxYUd5iGJU0DoGVmKUCQmEOcfiS9oX8E
lBXt/cTtPLTy5nqesTUJ1baQUCLzZrSojvnrQcDTobgOGEA8x5b1mb3fAulCxmFFKw9xB62I0h38
E7IVwFvQYu4lcmg43jQ+0CxjHPOT5HoqyGgo0h40Fa6WUVrDBxlbOvl/HPOC0CUXO2mLu6JwH0Yt
Rsk7BAW6DGxZlgYCAkIfwEHDiDZNA3qwm6o7PZOhFzYAmWTZurclp+BN17XVncqU5jVEjXnBgDPc
qckvi/wEz6HuDvckD5tnADbTFxfcDsD7IPzsWBkgAIgunzu00CfilzLScXz0IspC7qJ6aSOiykZ8
4HC3xScCD6h/lNnhXnLc4wBtixykGYzBmqbS+EnSYCppy5j49CrV6x8LAb9fx5EX0zgGkM+kwbww
WwhzCIYS5wNDpuYQVoLeE2iNEnq3W3TDt3P8f8v435Tx6L0tXqG/Xw9Oj1mU/uvy8al7vSj88WPf
VgQQMNhn4MIwl3eoxb9LS6WQYrRvSZ0E8NcVvJDv6NVQVeu0iNgBee3/XBGcd9TbHBLRBdicEFkY
/tGK8GZBYI+lHONfJldbHEDf73R1JbGzjhYB7EF5zSaFsVWrPpGhFeB5Q6fdJueKieoZQY3ht4fq
bzttLGBvLu7obLKma/CdSGQL1rINv+oA8FLo8WCXqScWd6DfWhhS4aAuI5Fxhc6pXc1pbBwj8Mk7
UKnRsS2E/oUkRTqgNBUzL2w5RKxwkgN1MrEijPNoHvIa3MLC2T6vahfMa924MPcaZ9PVNIXPfGvG
cOqT0OnXpX2DM9lMLsoMZEVlWSdJ4tbaDgz+QnsukBGNg7hShUj1TWc1BFxkywyCvA2iHedtarGA
QHFq5KWNx/Ik9IpGepnJeTEgG0d0xNrJJhOA7b5wrwYZwAOm6XIRIAHcRZo2vY+jSnmV7VN7xmT7
hanV7QwErweQ6gDtIBYQj6MUpMZaQ6e5UEKSM1qtxtE2K6IYai3qiCxiVkp94GtVuVO29HdBxGSo
1nzmvUU4OZ8o/WK5TozSuJWuCFBwf7VQEDvZ0OyfzqY+bo5tUGtnQ1KF2U0mg/458yf9Y66WRpdu
Mq5Z63POj7rGwHgGW2sCenDI7nLZ3HeVZno9XAKkee3BAZjq4pY9C+KabAKMgLu40j5Zne5eAC4k
fy9FO4DlFW0wJsy4iw7AR0YCD7MRSnFZYfKqk+TQg8rZpfBxdoYTAPeKK6c45mxx+zAdszPZh8Mp
kEUMsARGZFR34BwbB0Jcx+1uRKI/ogYmnCIvMX+4sL92CZFa2VQNR5fO3TYp6/KCFvauMGw4t6DO
JmJGGudM4Mjy4Cm55mZsO3GcogGpeWZm9rqOBx9wuJZy+5nebN2uVPsApAymZcPdMv+ZN4iumnsr
EM69nST6RRmXPNP4CvBGyFWzPOeA6dN1xRnqQk5U2b1VREt6aYuyomg8qY+QPjO3NFcEyIL0m9hb
bGNO3ZWJ1enOCRroyEB9TVHAgtGYRSZFhUm8aaLhU+x0UmxLjmKcHDo9r4AW92QDhUDMkq2aZ84F
cjAUbN0ows+e2/Jzrvz2doneQSsSt+luAuh9N0jffp6x/dzZQ+O+b9vGqFZT2Gmf4sgYj/Tt1Ekm
NBmgW4yVfanCxCWCaORMv/F70x+W81O1wz4YxzhkiL1ajUkVwDZJguFzOY0RTmmE6YuspBafHFT3
uxnZDro5gUzQna34cwPK/nrIYlwPQcfYMTJMkJXVHk2+SWDy8DK3Gqq3ehy2CXDKl6Cwy6doxF08
BWZ0UeFL28815QZZUljbg0r2l1ilyoNuRiUv9ShawHaG+yX2JXMyjEkbDc0BfqZhCNdBg0c30Svm
opFomotZ1KEHt6i+l4yOvbQbxKVOuN2jP/f5tgOx8cLJVHgAmvNboh6dOySn4jELZutadHO385fw
3Gl0mveMgXAD9Y1+bMcgewhjs/pAepF8T8tF7cMGqWpZTi0RK0mfDGs0lgMoySbF8punY4PvIRL1
l5R8lOAQyjrAqRenjnpvFFExeCY/+VDP/s6PpxApOafzMzXp3ewB9C3mM2PQZrgNUTx5QH7wYoWS
uGdzzhA0dTVmQfDHsJhMUi5WDS4xJMgxwU88aRigaBqi5RxtFxyuFrEaI1hg6hsS+RVv7RLAx0bK
LvM6u7LdI4SD7HzGct5sK7AUMJE1w9n7lSM+4WB0r2Gi9vsK0M09vIraXwRVAwF8IK41z/d7Xps+
0vxHInTSRVjmDgfAM8OHLs5bUkpR1fubChDAjajitFkLSbqBH0TjI9qB8hILVGOch8TMe702fUR0
lJOXjblpl/epdpd3snyu/KnfwxYJvcE2ELSiZ2UEOvVTW22Q1ecPPPxz4GVzPwbQSxJ42onfop/q
TLhJFNG9NcD2wLSPV6riSKeGUnwcy15u+jZMxDZDg6VWVle1H7V8aLAmMLS+z1SpP1RRgAwe4uOX
qGuNtVSzu3Hbud7ir2quMHa5T42ci0u87m68k2YLSVcQMjGDfPGL3RSMPXozMJiHCm5ksQaZIE9E
o1jhalC89KtCtfAe45oPgIMoQf4UEjO4AkjM6CRI4gwheJOUJWsm4ezAQ8lpInR8Qp3qw6eFfWTJ
GS1TMiwZBFbhELS17Dv0JIsPbD1+sMEAZsMxGfvyfRK1qK9qMhO4ZVAkY+jDCnbkEXY3Gx5x4xSz
ld2e90UPky0NpQYurIBqW/lNh8+V16HUgIyLZDKvCXlDWED2qryKERNcCgWVNCDS/JhN9cBqOocH
ElyHHYkvcHBtzG0oEi3F0N4F/XSrcdzixKHPmGyQ6erLi04kBkoNSKq66zzFtBqCdTdFLhRvBiwv
9aQ7VzOAtGKtt6O2bXR4Q2u3aMGXqV5t4PS0Nxqx7LK1xutwEO4t7qTgg2hN1LsGjBcfKUtGjjDx
YgrGxjq03frYhEF41dgNr61haep9WlT9l36KEt6ZqLZXhh6A5hShpc9rpKL6itNbfQEp74g91Uvr
ng25q5qd0gsCa2wjPPVjPFz2c8kPh6pKLo1CE9dplMpLNTJBB/OpRbcjbtLVpFr9EPqTN5NXtjC8
bzsNpZ9WAGygJttG+iJVkPKLAmqNzq0mYjKAvT0holZxyfX4QcLD/cw+x95RgPewjHUGc32rSjnQ
q8AQdz2EhQtkrREyY56iDAI4rbI4AEx3HtjlhqWLkUzUQRRCL6AX5supKcd070SwOSzCL9D3SMY0
q6HnA6FyzpCYGYkCBdR09XM3wUzZKSdqv0Caqqctein4DT3OhTO7N/Qjth9I9pWTRgTiZgDiWFoR
ixJ9TEzxPo8s8puAy1OtIZzL78AyVIdmaudu3aeqcSj5TPbDsou6+9ZsjPuh0lPPDhy4LkupYkFB
7Ewwa46jIrp6OhSXMrFvVO0PHwSMg2Bdwao+DxBZM6kGSRp5daMX77GHNLDRcMK2fKWue1015XwJ
Eag/q3MbQ7vmu2e6YcTgzy3nYWySWl+PokuLDQSgsdz7Y6QSPrTFJ+lZwMt14IKOWGEfrp/dxEDb
1mPqlezo8XSHj98kxrAZYVLkUKAAmMIDPHaaGzZ404riGMZZ+dLaAZdBxzci+SwSps4+VJ50LSzF
IhbRUWuOdTWkpANmChxLHWhofVPUJQAvAg1abqCPTr4B78VdL6eZLyjGjZluoKy35ha2iHHX136t
nXe+Hehe3BtGf+5aVe9shcAX46BOP+96O3Uoe/SRCtgilE5MKjkvETvinuFUdCrnwbi3Q92656WO
+3N0h/KQiXBcfFHweHqWivcTc8P8MFpJWMFMGaphhcfalBsncmtK1nIsDzMT/EcUYuC/fG1GjGDr
lFHeYORNtDY4OfTbVre6es09cevzEF3hfQpl+UMNazk6zmFrOXuzHYJ9Sm71FuC09qyL2D9PFmvY
SmdX2U/I08x1gcntQQ5KBzySaO09d7u8UGKO0/WcMQc3WczP/CY1DrMK4CmafnvMijiN1iaRvMDZ
Xe4TH6KDn6PGyxJIGAEZYYC2L6Y8ArsFpvjU6gZdvd+cx8TS/HndduWUyVTbYl7PSVUotTSPXh3H
cqNruzRSreeDrNwXbfAZ79hdJcoH6WZ3xDixsdIxpo+Cdz7u55tXJ+frH9u+S1f37eUtXUd0bgqU
SPqbrm/io/tNBq31ap/QFxJVaJ33Ufqtd/m3p86vJ9q3l1kacFLoXMd03xw6p2bujWFW0IOCljNh
3yE9swFBkQMXzg4mXMK3DFRJefiEdVQzNiBEUyD00MYexDiZ+wmz6RETUXubMDG+WL4yOjq6cakN
5fRgGIsnNbGgNnTsi+010/bC3/7zBuypyPjnlwyTv+2+vm6+/r//RaQTm7QxIDKvnqvNY/v4r+ev
U7DLx+z5//6fXfH4uhXz10/80Z6FTrLIUISg2fqd38KW7yyT0ZEtwAIzhVraNH+0Z4X5jtfBcslI
Q/yxTKv+asYIRecWmwZ9GkUjbpnO/gNS7/c6BWZmfDC6v8sbYNkCxc73L6Bhs02Y6TB4yIGK1Qhu
e0tQrLEWIiSdnUDKb9P5v30X3naDv12PC8JWQXOwjPJev/CADZvEQqflzYojPgvSCxUF8tdBG3+z
thjy7eLCtUyHkQ7dZ4my4S2DuLMY/ckwRI0rdMCSmUmCGhJZsef8V14kftBfdDO2ktRo801A5+YJ
2HV/Dbw22WeuoqZi8CTO9Yk6FPJjs2yKblDfK1KmBnSJULktTtznnW40eAtm0183RHizL40ODO5s
TkFPDrIg9bmTRLwl4pTR3+23NGgrcSBzRr+OIDCiQ41mH1adrZ5bKyy8xiGFZu00affSYX95RhaH
V5Az86bw0/narSiQV22FHb3qO2zgXdvfxNasHTjd6/1ZpQjpW8Fy46N0NvsK0/6ZPk4IeZPc9tQG
A+FMUKi0QLN35Sxp8WaAWkioc8GqrhpVU0xJu69fslirz+3G2tsBz4PocadoNiHmk3VaQrDKDaxG
/3wOtPnAKTm/Hsf0OIaoyJWv9+sgKh+0jPRp1AY3sZrzXQ4zcBo70i1c+jYVhvu1dLX6uKRsrzkE
9aBkYaumApbnRrMcemlgTjyhjaBBpuYhcjtwDKNKNhM5ViuLWGkY8/Zlm8fxNm2AxoQkR0oc/h4D
frpD+UTannFDwMmqMbTbqeo3prCXiO0x3DnI1zaEOOwNHJzrpJRcvmbepYvgJY8jOh9dzH9ZOjQ6
aEWYci61G3t5ETb6xlJc3LAyfdM7+s3QMUPr8NquRR48BkZykeUMMJZR64DmeiUapqEq13botm6K
pN44yzeayEUYpMI7JNHBWh+NJ7PzjyKx9xU79DoVGX6iEQjIQBPMaOQNOJFxXWTiKbayraRNAPm4
3Uk9ftENK/ESv34w+R+971xKGb9QIB2zNjgPQMmwzdAIwCp+RxTuDiwrQ4SeMj3ZtZIcgLSOvBIN
6xp6IxlilV9VwTGWatAxMPnNVdWalxFJN3lPa2mQaqT8Sw+6Oz5boIc3yVhbW2pGzFcjjSmXc9eq
b0nvpcZe4Dc5Sl4Xv2GnnEtjCgPib8fPod/cj4FhEW9MVU9OS7S2fNLZZHCcYkj6aN/8VaHRSTPs
gkQmNJ9ErWFB5zhk1cYDmFd+AWTucPA42g3RZx/CSLygIOmT2uvWLlYAQEmWop8C4Nggu7po+02N
NXnNjb0JKZDXfjFMKy1NG0DKvKhYmudTqzU9Fap9GnR+05xhcJ9zH5ReAiwoCu+/m+t/IhNZtkqU
br/cXLv4sX5s326wX3/qrw0WyyKCMjZTtHa09f+UK1nOO4HIA/zGHzss9d2f80+FkslglvF11PGN
kv/n/FN/J0BsowNQBg5AxqP/ZIN9W2KyydE9W1jYaFhsSHbfb3iM9HurYSPwWpM1bjXDmroP8XH/
Rl33dh+ndYCu14aLZlsGv9ebyzQIC+IB3YJngcb61Ouas+VUH5Cg1Sb9LsiQT7+6Cz8pnX/UYXFF
C8g/ExUki8J5I1hwszkBFOCTtiZGJB1lprOEc87PyDm2Zb7JYN7eOQSmn7W+c4svwYXzzk99yicp
dnrlxudwBOW5qHrDYxyJe2BKhwv6lvNRjEl58ZvP+7byWL6hpdJaFIh4Gu03tT7Q4GQaRshbiV9k
Txh5Erwkgn8ndIjoALKKDIFtLRt78VRDPnoi23T4MAUEG2MeVS8B/dD3eTESbDkSi/brj2f8+Jzw
8Rb43SKc5qDJQ/y6MLLdSidhZbKwupbqIpoF63zEhGVjN0NIjBEaZHiM9DfSVo6erunBWcvMyOMz
O2fhqOx7YwqyK7xjByHKPRbam5GQFejGoCngY1V98hFDMF4FX0EwIYvgc4fzcMdkorz99e+iliLu
9Xln+aoRX6M4kFKhMngjKXWiedDbTppe2aX0k0zoj0jsjWAD6SYkmi7CA0kmtelpRTM85dZANm2a
5S5ZBhnjbzqQ2k03ju1Hi2E21F9CbrNEMx9GKCNNY17YdWQQMh/1cC21gMy0rt8DuA69Oog/lmbF
Qdg3H1yzlZetBo4nn67ARvRn5WRle9xttPWyvDoqzYcLboQDcxgjEv42zBD+gGGwvW4i09xIB3lR
l9hmF4fRvBKdLA+mVYGeIvA4WIWsRuRO6OwesaG57aaYx/jh19/lD0Us3yV0HVNhrJZCgjn8/rko
bdAGZjOZwO5ldlXoSb4t4kE/ovbY2VK8aPEwXtFOpM+XUXZmZ13NhIJU7PqzKqv2ogqwsNE/New9
fNt0Y6NWs1Z5bos1vpvymmgmxmU4AQmRKLPpyWW+AHTKJ+w2HbUHIZPgiGQtCNZpGdHaowtzdJIu
3radpf/mwWFl/eHB+ap0Z0C8lOxf//xVO6B09LK3l5egSar+EttuRyqcoal9ybJ+TeaZu62QM698
kTLuJBTgIEtTh//iOOWZmJXz3mzM6Rncjv7l1/fhJ+urw4EF/T3/0Sntv78NaTBlfWoOpjcAwFtT
Mb+E/bRXLSHM9tj/5pD0k6+BA9miytaBq7Okf38xAlOswZla05umxn7QcY0ub3F89etf6ScL4ndX
efOWpk4cWY0kVR61WPSswy89Tl3OZEu1+bT99bV+siIsI3932VEXteSbr49HkrYu7lovRy5/kFo2
P80EVBxprum3xtiw7OaMrTh16Hp+7eZ+vfn1B/jJV4qeWbk2B09USF/ld6+erEIbQP6FCOlSAAEf
BGJIMhkJ4Pv1VYzlzrxe+WhiUThgMGAJByNqvz1Os+Q6hBATDGXWt2VjLBlu0y6O+puR1oobXY0k
aaB5elo0OF2Yalckp0HPmwuGYHKYNm7XgQkMFaBHAG47cgkZ9o+3jVFi4Z1CVJYc4FY6E8ZSAfBY
SXeuiS+onmE2/UaS+Pb5QNcKUJy9kkSgpa6iBfF6R5oJbakIirQ92nHFGp4bTpMJQ8JsEeb26+/t
h68NScmy8YkF7CqwZ3x/qXD2jdSmY+zZqRWc+xNIL0I3+kNQ5+lWwsPEZifc31yUUvDtW42amPWG
comVFYXL29s1ACsyMjJ/CLgYiD1ICk8GpHK5/jg8SBDZ1kqMza0WRPs6GD7abs6scZiMRzJwxKrV
wwO1D5oox14hU71uSqa71LuL1K3cpUuqS+NHH32j+Vj0YBE4Q64AyaF+yAjiqdIWnOIw7hm2KjIP
G/3aJXFlvYQCuREnpNUyFF5F+qRva+KKL5zCx6xUM60ytHRr06tZuT7DJXDYN10FVhZgeckLdItI
Cx4EO51y7gKkWVez9YhR8ilnKnWVkwoC6MwMHmASdFdaFRvbISZF0Z9jscoqJ1vVjU1ThKxSRjJV
Gn+clsDcsYtygBs4h5+M1K13KqQ9jmNQqo9jZACQ17NTWfbXtbNjJk0OdiC++JFZe6afcYrXAgjb
pklEdZua9dZEj+rlkVtCsDEZ+OGqvlSMVK/FaPlQu+KqRU6t2HPrznhuZOJckDLabCNoCQCHEiyL
ruh9bx5wA2x8dqlPQNQGL6J5g7VtwnBp3cGzIda8klmwyjsCvddzFU6HWobqBlsxARoRBCicoNhF
z4hcnXdGCnXEQp0IjWxU8CwM92Ua4CMN3YlOy3NMdfkhMqDtyjnPPNfp74nlOW+ysdk2NGEufBoJ
H6o4lgD0a5OBbllk/F0p8mF3dleurG4yd/4wBuCrYFmrs7asa/iwARDzxIG+DaCrv6rRFO3EnJrX
be9kT3DdmquuxqlBMnTw4vT4FpkmN2fI+cob2griIa/K9H6I5A5sY4EkkgbUdVFkJXPDlGbLCCnO
hFpSTRua6NP7NJjbG+lP3fvSgPJQafV00kK/3JWFllxqZUXYDtqf24RC67KLqyXy3tA3ospsrmyV
BJxrnZcMI6pguIOPmk/IOzN989KoCaYOuXtnc5y1N2GXfq57e/ocL7/hgKJnB27oWg/Ubi5OtEwR
EAO7Yxp+4Wt2syPbY9gXIim++L4IT9i70TDKLqIAd4gvqOjGaXY6b1pm3pvZ/f/Uncly3MiapV+o
UYbJMWwDiIkxkAwOIrWBUZSEGXA4Zn/6+uJeq65bXbVps970Ji1TJikZJOD+D+d8h1CMFo3Ls98R
ul6SIhSbcrWidlXN38Dsl50xuetDTcLhYyOCP1knPhuTUQHyglYScm7nyw+/91tQerOxWVeWuJkD
A3HsM1zMM6jzUaU/lOx/oBll8DQIS/2qWmt4T4PSO7AHrvehs7ZbNs02uMCZFVatRKxC5R2Idqp2
ygATIRAiRExhm3dXNcYFmzixCBjxz6psbpywy6GruxlPq+Nt+V3pnqnsOemnP45IT0SqIIcoQq/Z
NKazEFWR8RuMNHuZMPhup2UydqUTBI9JLxmUtUbw4ozrrz4Q7a1Ss/coRk4F3kHgMk4+HataPGlp
Os9jVvMzAWrWxCg/xgfX6mdeqiHbZeGM+CNEbmG38uwXd2q9A1YlXRnliURnbwOAe35N6pNpdnzA
tusjUruLHdv0lQuig1ZhZcUXHIfxjJxivjLgrJ7F2s5gW416i0NziLMKKL+bfyL+6ncpi/TYNcjZ
HUyArxO4jIX58xXKHFBKY7G/2TaOmznoipiQYzPOy7R7so0arXBCa+ftnNp9d5JOcAaiAdtmWRNb
fvlIUsd4I2HuBIkiGh0cjWXxisi34RPL8hndE+mHa27/NvVS3eRUUOkHbGv2RQ8ZgBi4poiZbT0q
23NjQBb60C3Oi5UskWhw1o8jFkLwKvtGy3EbKvtXM3WnzBIxXDe2Wa6Hn3ly97P07L0yzJeWqSmS
lunSiCk5zyNc7Y0Aivgx6NqKZTc3CWgHu502GftvULfrQHet1WmwhhTmhoPru0yvo2aFPNizFWWz
o+3Ibxe0cZ0aozEPG2gzfePuvNDN4b4lD5Qd7b5lf3lqHWN6MuCMsIVvGviRrXwQHqZ51+ueUY6A
wYEq95W7qv3Syiz3VuJD9wa5DV7Mzc95opwPvmqm1GMpYJuj3SCPTO8zTxJzbxnFQxdgtfY9bk4F
Yoz3QoaHiQSnCOQf7WC1IpQDnHKUjmAVugrEYgrJWgU5bTd0HN5Frp6V9bfMmCNsPOa+r8FACElv
ZfIJLMp689IyOAGxXU++9osTiMAVG8yQ/Gh0uH6MABpQDFbWbbmHt5AbzV2Y2cXeVUP+M2gF4Q1u
3+2mLvA/ZGqaxzyD+1w4KddtBkiXvW68lE76xGRn2EKMbM+kh4sTwBRxTpxRbLNkMl9tyNfPVT44
R9XPwRnVOkKesEgvUx3wb304Xckj/y3rjqx78oyiHGTngUd02439r6AW2a6pqBc3vrqfLrAISPOr
WGZvte+tx951tg7jdzk+ChPkdO81j3MFICZlIjxElvQwi4yBf3HIVboNOhe/Rd7VHxgrBcQd931N
XBG3GSlqTTdMezFPKtwMegCk5TIuNVyvfhjKzuMMc9XOZSMZ5ybRWj4Q6xdDTCghFvR/086XIjvi
oJc7cwUOW1ldG2u35sFPBoJ64qXx3GORTkBZA/NH4A7+U8Cf37C8MJ6bsKguOu9+g+LGjF8qhwq4
UgRkqfF653z5vfu3CdRDWur0SZShFy/rVMbpnBXHyeH7TDybiDpnnTeMoy59KtmjJhGFWrJTST1L
BgRgPSakN4+oY8ZHRIPpGy2mZ4HPzC0AIPBtN8RlqStmieTdV751q+vBvNjDLB8cWMuXZVn63z1E
aSQPXZa9zg1fjGG64o+zmOF3kMP/L/O82NoZf85KAiNWXqOAFVD07QijcaAqLc76ZYe9f66nfjVg
bbfNVoV+c5ON3xyzrpj+VAinRiBIhiTbIyCdvJVkyvtWbr3BqSfVBD1jELeC+3pi/MNiBpHC3oVe
xVU5dsmrK62RH34FJr+f63S/dg6Ioz7pPLnpgDJs8t6u3lsRLh/gtauUWTfoQ9RBzMm3xehkYGLa
IryWWTnt7NKYY4dmCL1nYohPpIrM82RSfXr26O9DgVwYEj7Z9PNch5cQigVfPL4RIpR14WwnaXRs
azpDPy5oRyiZVC8f5Zr1l2IqbihIfgEG+4FoEwVDttoPKk1Scmj0x6ghUvYAVKM1K/EnoVHY2vUd
3n6/bkzbB8sdKt3dR0RL3NReF8sqGM/k3YF3JW945zuIIWq2UelG1clyRJgLcsnB+VCFd8wNkW3Q
JfGarU1xMpZcvjdgusbkt3b9WzDbryqYvixQZhCnfoqy/8hs1z3UqVE/d5MZHHqz8SPXrH0kAUE5
xFWb13FrWhDHWtwn19qUKsamqg91ZYwWoyibOol8mUso1PBi9CUC0DYgYMGV9ngtmxzKbu8J8bXM
DdJvvoQRCZpIn6tweQE64hwAcTWfizY1lovZdA6MluY/U5EMLxqt335dWuChUvqEfK1psBFce7/H
EZ4XDht8KS7ksqRx5J43OSCpSrXgU4v5MLHP+iTx2dooawy2XpsSz5mGDyC4JDwaBi4bK8y7eOpz
eUSUPL+bKufSCYIJulmesjb1Wk3PaubDSgyrl//lz9xFYgQKxt1qwJSjjMncSCN7eyjnoNhS//eP
PjjIjPzHtdwqO2SF4maG2ORe6+/A8vp7guIGjly3dSILWsyuIRP5xVh8GgafoeEbysD2k4bdPDGi
aPcKvwMvNwH2LC4haCcIMIs5mkLCCgeGjrvFGcwv3mEbvSwktZJc8ydjMsctutGKMpgkoyOoGeNi
ZmSbgRZU5aXKuuRRUXxsBSgsQF1Vi8cugMnC+v1Up8FbNZkPkAPaX3pM872ZddkLurX2RQuHEFQ5
rKQjcZyibveew9A2f2aiCm9jadsX2zfZX8Fj/b4fhT8B3GUv41x3gl8sYf8URCnKwgjffD0Mr34J
gTYeh/ybg6W6Qj5a3mZzzYs4h+izs7oeM/PadHyGrDxkKMXO1ZCnV0un3fOklvYBvLhzlOk4XHOr
Rg9n2OmPXI4JJGgUdwTc2afZC2BCU7D9qMPc0RtFbOKemgc5ZjdhRQrqJTx0kz8RVE+q3COTwem9
dJkMLgai2jac+pC0hbl/hormM07Raj001Gsnrxq8P7PVIdjWRZM/Ozyqz11QrKA/jNm2j8KnP84q
uslDqe4hfE1O5n1XBM0ha+biR9/X6rMrXNNCjc7iYNN22sTQlM7F24i6IraD1dq6tUGAOShFGpsg
rU3CbKfsanhms7VEKw9TopAaOhaUjjVTT1yTxQ4qUeXwlnQohtdgfTesBrJVblQwYgOBp1QDYeya
4Vr6y7OfBD4P/1SOB8lHMDYykM1f/tP1opndv9oSyo0AIDQ6dh1LGoibkUHMJoScKiRBQRh1QM3f
LOgx0HogloNGzrvvSibLdkIK9GhNaEDZOM50UgDxv0SWFJ8NdgeFDgqjVdQ27pzf0C4M+6pzKHYN
vUICagm0RBi33vigjNClWqBs4Szbc6mv+8X36kPpGKbzXidJ/3eyCxKObSaHzYPt1p4b0RiI+RSu
uUeCZ2L5a1ytJfA+KmnDeMQsPQQnC1jWndUuPsYavwNIbOdWaSc85EYOALieWsK6qPALsn21kMGW
PnMG8D53HAVaj4BeyzzMdnWzyHhooX0JXwdyu/Zqtc+M9xIz8nLBoiqAJYn/oYOajJXkUjph/5ZP
xLoBOfI2c4cJrTeC5a+WIUJEeu/5AdRR/UtY8p5uACQyWrlhU7Rwk3PGr6t/2DhH/mbMgS6mFsZv
Pnr3OSZzT5psIocHrkKOAX42KFzXES3GVQTpeu1bLyDYZNTVbhKTeWYalnKeT3U1x5NT5TB0W/mY
Y9u5tqYoftJa0i76cxf8KgpVMl3n4P7RAVLBpuzMp2LIAujHKPQwFMye/Oy7sL0TEpMPVkq8V1OV
0+jl7UvDnv6cKJGWOyNwflU2A6i5J9Z0cFmeMM/co3l7KEtyA0nw86lntJHeYIRVrwuZVjvHxGgr
s8B6RCWBcbhQI+pcUmD63dro4bjWnb2VRq4GwPotDgISRw4F19d7WqZkYgQBsDc+CTxQpYvyq6Vc
2s5zOxx4VVOI/KP1hDPbIIe0HBCoL7aRGNGwDAitl2VNcIz4GbfkMukLCTk0BnTDv2zRBUemq+nJ
npY/vTX9Ub3xZtICbCoohEfHIosoID1w5wJzwtbUjO9KpulDEErSjoG5/5n8msxV3ebrlckWN0NN
YX1X8fsjHkWLMajKe8KlpfGnx85Jjqrv/O1tMfff9/8F6CdvxmZJpHYmtp49mUgQppzW3mOduW5M
ZyWK1Zqwuyd8OIJDacH1u1CQ/jB5z79ysNJlhBdoeFwS/2nKBnEZOIMFHyuJYWf3THRKZzxNSOCP
anaHDW/Hp8nf4m2IvHVjGpNy7w3rQtZdCjZMreSUjMzh0n1Y3yNugvkRWbrz0fPRH7CfAiK/JzWx
42q3TJecd26nyDUQ7WyKZBVXw1rmiFoGUXFVBnFn6UvW1N0phNEPNa+Tv4HEMW6rYRYlkl7XWBBq
ON08EELTIBNvg5H3wLDEsaekTTcQ7u15g+RcbIbSXhBUaGPfmv0/EKktqU2jLa+IZpqd6Sr/2Po2
Gm1OOutFBsr7ZpRRACktyE6NjALLmNXf6kRlT5bNXBCDEBg7b3QuSTJGQ8FzuHprmxJz2q4HfuLD
HGnbZekazDyxGfHbU/gxG47/nmnPeyhXJaMy0Baj2ZrQS+7ehxHJ9iWYRi8OKFc+JssrTvij6oji
QG7tZZrREXcoPsDdXpY5ILlnMI11G+Kwoweiv3r2V7pidPnTSWEl+U6V5gKuEhU5gjUa/qzmrSaH
+xVQjb4ZpBC/s69vaYnypEZdP3bONkiJNa+8gpRhtxnubti8YgZb2S/D2kBZXHPI4+4AJk33PcEF
gADVrIroHsPRRG7DoxK6S53vZ2pJInFa4ghy9EURATVJFoeZm1JurdNPjlFoYJ4hsDaEcMo0ASBk
vbCFDnS09oAQdn3uj7fBCsxDRXnfcpoGaJHHxSZEMBSz8ZxXa3HtcPM/BF0NsL5VFXA94Z0JVe3w
3VnNLuh0EYuppwfqKy8milKSuUp8Yo0xiPjLTaPsn3nrfYVYhIGQegt0VW/q4LaDXScf2ouGlXjX
EWIABj3zJoESR13jBA/1OleXvC9fmyy0wdJPGah823rxleu+kvmaHAlt0Vui+17AnZYc0t58I1rC
PIyVKK8LNylMh+ZujwbkZ+j0BUl6ve8HpEZ2zZSZga5zmRuXfAZPDruxb5sNy5DPMVDmyUwrY78k
9XGqlL8fAbbHRTb8HehWfpNOGznSWKJxRYK9CIRxE5uvMpf10bRb0sAJo9r7Wc9sKCEggCfcSbfa
0dnrMI47zT7WIVHraLHr2oIy/Hb7Wp/SeSaCcxyUIF4AqRCOh+HQMH8CXQ9Psy1No9sACQ22tnjs
8FJusO5IcloF4asFmPlsM7Balhi1q1MAsVRLYxsWzRU3EgHfofg9Bka6H43FOuKW4XcHlQeLQUVt
751tPRwMSX+HjNo9qS57ZPbbsjuo921WPLeGMH9lyNs5mmiH7bleGOdP64kB2FsZgmmXph+xeIjs
HIBuikr56JAfkjYY3Ae1VL+dIcmj0lE/tU7PkAPwVaV5i43estN6w27f5jowxE4KWiAt8qNvr73c
tGFXy83QsMmi9PBPAjEfTl8aZA8wyqZ1RLMNLOJIk3s7AYN8+dnAJCPAo3Rjp/Vo2sdll3Lmxqaf
lhNZLeIX/h33xevSBjZwZmdqMxsEablrMRyqdSVci64iexAGsug90R3iU02AVr4SfoHXU0mPvje0
Xh3Xx7M6Yw3alOu0LXlvZUQvvdVBsOIoCiWjDEX4XGK4yUsnHRiCY9iGe7zXx7viPw06+6ETNmEa
zTTP6wEPL1HPfsKt6Bc8Uiq32uLVyHXByhGnWPiV5gkHsSXQp5kd6XQnL6c/idLSI+0tDIvyOUx9
4eDBJQg8AlJ9P+Dy4lyJSUe6XJYITikzUW+AdJ1yH3p4qO7nKV4HUB75rZin8mUkIPluIyJp2ik0
M805afBpeLnnf8qmGr/W1ha/S8yiG+WGY72ZIaJvevq6yG6Xaqc1KuCgW63hQPIoTgyTHzXN4ES3
SIqH8RwY6oNBsdoW9qxYYQ7+A85rZvhkKhBZQDiWrq6e2RK1JLtHp7CPfS2/MhM/FXuuR8H9nrbN
owP+pi8G48W1ZpxtQEzTZ0FBcuGJyz4TbJB0xN1m7lOTGGVCjMQyxulqS0iPXc52aSWzoAj35JX/
nNLpJrrlA7niggIQJklcaKc7Lhio0yDFzdOo9hpiRog8xYNe40WMUlTCiGys8cbd3XBDlkzJikrW
W9oAOtXBcBcCmvVU/9FYIyLlOn1E2XNs0OpvBj+hZ3InE5WJx1ZKhv38EsLnfUtHfExL7jCkrkR3
LRAwAHW7wAQFkLn4VmwFGUOKHibjB/1CbYLN9DvYrRBUp9YZfuZWQVKvAgd90gOuMKJcy4LCN2ct
3A1cuvWYcuRlUcC8YC3S8LCa1hibtDo250+Ng69qxEuHG5RCi/lpbpILRPbSZw9Xfr9OnLjMVpdL
3goFwHXRH6tP11ZHrLKYbHg8LI+eqj/m2XKeU20l6a4fnPUntnjChKmOL244eB9rp4kC6VjrURJp
/CjFGpqXpTJMYjd8vg3owYDxwoxNHh1GQ9/0pnQhukiu+QS8Mxr4/vGdNDLf2hLcUb3RwoHOUGpf
rnY015Z5ckODfUE/lW813kI1ynkn6vl9gK3KdzB9Y4G8l1bgHyp2SdtRqz4yV3JeYqEEM+7CeHRS
VoqcK/nbAEsYxYikM5l40FCKmupvo/Or7Px7qMi6920VN3NFNAl8YFJk3DLSQc4EPpPbzIbC26O0
GTeuLdNduNb47lrUMF5M4Msve7SF3I/A1Q81/eeHCW1453pudxSF3f0mvMVEB2XzgMxQX/NNTQr4
SyUse4k6a4AlDPuD4Zr2z34W1G/24pEDQtDlBI3dJYKymX1EvI2XPmd48AYf/Xc/yfyBzQkrB7uu
QAWGkH2UObZEm9Wzvuklb8D8W3Mf26QvH4LSJBQL3jbrBDxNHwWn4jc2YytqENe8eJibmBMvMj8J
7XKECR9adMnabLITGrnWNk54gCUtU9e6R2VPLohyMZfXmTrmYVqTdGCFRp4ezKRl7SEqtLzsGIiI
GBj4lkeGPb6XPajyINDBNvcmmKyBVVDW2UfPx+a3mTOxFz0VFBEzg32hg2s3mWKrOMVdp59JzuqL
3PjTkuASKX80zuW94p21nd/Q67VXh0RqZNJV8VRo7R14lZwncmD0u5vZ/pa4IBGTrtrQ74lhY+ve
jkTZEhhUwDhhl1ee0Tm5lGUTtXPSzSdO3AVOthPsRk7pvYcKe7O26r4Z6xLrR8W44SFhCxRLMr7J
0nG820iYDsFPrfgmVcNPNkz1uDzKYnHi0RXGJoNQHVXZOMfMkJzYzPDSS/xbHyrPxIvF8/mcSYtH
KXVImHZ1exNItchrsT08XA65exyyDKgm92iSb8U0pVzzOChF/ZLXstxDvhl+dAlnXWs6LPTnBmXb
ZjULPnFtjBk5EI3FZin1hx6SdvbtoqP9FMTzPa42KUGsE43IRqhI5oMjosAPpwjTqMd3qmqjonHW
U2bAMuYUn/jpzG0XfBmz8YmL/086ARkGP/LEA8W0nmlSVFdD8ZQZVj3GY4FbN57drF6uoWZ1TfDP
3I/7lsMzizLVTwce647y0WFkOtdBdgStlr75nQnJj4toMuM2rLB2GnxnkQzo8NxMVnIQfq2+7XTG
u9DcEt8ZHjujXo+NufhRWRqTioYZ4tgmG/LkOWVY9MLTlf8oG2l9zLZD+BOBgNvUEOkuaRP96DUt
xAR/pL/Er83aubLMD1SXw1upbQZTQQ1Eu9BWcMyU3ZFY7aV/wlQHsUzMcht6en3pQrDMDcFVO26L
auv5iuiNxQQMp83JZv1i/aNLxnvnNN0JeDTh5SlMTLGm1tEYQiLAuEOcSFfBuuvdSV8ZtAxHnZXG
V0kk/LvTU2hjLK8PvZHhBvf8bL/kRb6zBm9b2cv428AvcsxnMtGx8c5eFWVWfiYJa3niiawoqV31
2XpT8e2E5BKqLNUvPqZ00sHodyTOdXlXMMRMjUGTFPyzZEryupL7NmKZbIIlMqehf7GWur+6MCHE
1Qya6WFYLQyowpjHraDXOnR5xgZdl+bT6mQBnaRXW4fQyqqt9AY0KpZkqhcW/msyOfY1ky2FiOUz
tKnsmfeZV0+mPUvMQFdvmaqRkBhIqHTfXozWePMb44+DtPO1lkZ3I0og2YHFzu9VLfJ/N8/fTejr
RH6k/quzlNONrKg2LornmVHrznaL8aNsvf5JWM7yYUCS3BYIUU5OmwcRHprxg2Plwysr57Ia9/pg
rsurU7r2qal6c1+lWf2UkmcXJWIqf0NEBzww22ak6imnVTE5HRBYHegNc2y70h4yOK+uOFZ+3+2B
lejPGgMSOa8rtvzaMajHemkam4o6+VTkIo0b3GI4e5o67j1iU1M52hFGH6QRDUHDgKHksZYecx9v
2CvHHx/knLRR5lnWhwgrYicCviocTXltPTNszU+TJkeQmW3B3+ovu1aa5RHchfMk/a7f1ljTYiNr
gtOI13hTNH+xfOy8hTujAmS7p4yG6b86bkewU2ZGWFyaQ+cxNfaC9DPIst+olP4ETFsxXvm7PLF2
i49ErSPGcy+79k/ple0m9O5hgara1PfEunIlbL6ezqlKz7Pfvi+Q9oJF+/FSsRgyrNVkb5xteWWj
0XLJEPGtYzXJl7W3DiiGIt+cMrgDTRWJGQwBqdVUgfPCIisgWkLWvblJbeOgze6hclyCFNez2zH9
XjGo3hh1uYc+WIqdO6TokaXOaSbHsfjpy1XtDD8tLoGfly9EIXuvoqFjbDUWIa9urf3/0q1J3cjq
Hs7CkH4ZWeZeaIHNnQ7Sco/lt3/7h2Lu/zUe6/8joyX9om1jdfwX5eB/c1pev9KvCmLov7pB/vPP
/dMOEop/s22slr6Lsg9ctve/7SDhPV0elQZWXDNE+HeHQ/2HHcT7t9BGF0pf+U8vJvrR/7CDCEwk
RFkHnu3gd+Br/L+xg+A9/K8SUdShAHLRx2NLJGXN/z/xVzrobXNaQeyvOaqFxv9ivR1u8hwFXOau
yTmvRgR6Rv3WytKDxMI4rzOX6mtxhX/BkG1tFhIHCoEgKJPzE9w83PdN8Ja6dRhXrJuXzZiTxrIS
gziX7sRmSNDdsTiNZ/T4Lz1XRwQmVx2CzP0sJvgQvXfBo8w4WOTbzC+o1abkmSnDxmMOyco+URuW
reRHJMFOTZjz/Vqca2f1vvzcIju3DLd9a3tI2EJ9IbG35p5lf1gxfAK20x9GmE27mTIVYV+wo69l
clCN7GoZDIDXs/x4BAPFnT4/d5l74Cf4e7axToL6rEeL1YF9y2txIi+AipX4obG1/worXx4QrbFD
UAzE9swAXnK+t4+saUl90YZkIZK/LbjiPWM+j4JvZjhI51ysfOTcKa9M7/Yd0rVNI7uLI9Ddgtqo
9/kyfEt71dfkvQ8ha/Yd++Ssuwuksuq6GsO7J1icdCNxz7gQa7eLrKD5O3A3xyG7JmT8MRkPG1gI
r/R1xwxvN7RrYFETJbPpApc3dHEgm+LZsMW0Tft+eRtzLY6OX+OYsBekTS18GyQhhDeTA9oi9mpq
dcucCX8bIxMWGNWO+XsQFW3tPgoHz2IlUMMB0JARoT3FPhjcJKpQ2h5tcotf2YTfnJJkE0YQ7siO
PFsJqkbKBb5pkPvBKNLHxbuEtXjDSzjsdeE1TzP4rwjoxYVa+JFILNI+vR9ptV7J0FijYVxYT8yK
47o/MpujwE1/zOmsTku+XcWKtGfsr0oNf8vmhYGWjJH2O9RokqFGTRD7wC5vmSgeugpjEIsAOlBy
SO3uurKEKQV42BWvJdnLu7Zbj0tvviX1u13JBTVDbcQg5Ph/F8eOe1JV0nwjAJy1+jqJzcJ8q6fi
IomyDmZrTwjiphHWF9P+/KSt8G9VAGgrNX6++sFPuidn4A5F6NWW9k3pzPqcFIuqTd4SYk3G0gvy
u11DJ8Dfu/ro/2uFcjtzxJM1a/SWlDF7Bp7iW7rdeBoUTJoIz4b3xPYOgUnSc4m7KvgSTOWicASf
hFglOJIlPB6rgjBppouU18HY52emWeYxK1J1WMEEv/Y+ezQe1f7otCY0obIHv9XN7VPmOdPR95vq
Z7km/ot2yVqtzDvmVTYQ5702PMkw93aWN8+7wbLS42jo5VJPbv2qh3x5DSQJ0YUp67dardQrk81S
UskQNx4BcCwYsunqzuF9mOfKczkF87M1Ns5VWHp8QKRnfVpFNUIsaZfd0jKw6yqvPCrWb48kJWd/
sIhy7fZwc5BAlaxK24nvuh7n/FKgpzyLpBpOVUJubtROk/kUsEm4zc7UXa3EtnD8tNnbyg/r0iGo
OPOo+Gci281z7bZUxSyArGispb+3Kru6hnzAOBtYxhcV6KPDv9wy/4PZ7Z8++P8U9gcu7gUbD87d
2AQ+EC/Of1WolyVWUqfX6TFI0+oqUcdNx6Kf+mvnNE08JibBMNZMzWwzgiHwmwR0tLtbsRjp1h3G
N2/qjV3lkAc/+QVjnwEJaswMzCQaCvRI5ubp55CMycIzl4ontNfFaTDrK3Zy+tAu1E/Su6+1kqC6
rOm9Tu+yN5Es7IOx9h/6ZaqjyWLRma3iVSniaEaEBo/emAZFTMxY8ipn7K9IehjXYHxj2x1nDX8x
g+AsROBBlYOEEWUNZvRkWvYmQboFBmq3/TSsrGMJOqXtVmireXOYTHzibXhAWaR3kLVuo3+v44aG
hawXy2ZFroVgDzVZ5e3zujkbNHKHtbaYC4wO8NPhnEn1kiifvJ7WHDbTIhhg5EukmyTflmRYbaiB
deQDmImsrD712p1OiWrPfs7rn+er2CFM2M3kvUfAw9YteyCyA2cv/c4mMdMQze7OSAuD2RM2/XYt
Ss4YKn0/K4ubxM8UE9Nao6KckTklNY+Spg+mKfOIE5J3l/oInTAXBrQNYWZvTG3sc5p73bXEXngj
Ysp8ykrHtqIwJzWMn/VCGJSXX3C+hRdYuDzvwZz1v/0U9ScNqZP9qSt6mkUlyw4LWnlc7+9McH97
WNSPW8b41mfVB+NDRmLilXXu8iy7HJua2XA/M/y6ypmrsvFU/9WtjNPIx3X7XXl/g8P7u2ze3+rE
L5vX6f6mM0lPjxDB5l13PweQ3ZDHg2D+JN2W3WbX3J+DLngJ7mdIfj9N9P1cISu9jdz7WSPup85w
P3/0/SRC0qMOZCyZxzKgg2zIFJuiZVD1D/qX8ViUGOklwBocimMWTfBrvorKXk8yMchNYcH5lCE5
GaKQ332iAPG+cc7SrBbesGOC5T3xu43HsWPEQFCeu80ZVZvMvzElRWaiMJX3OqRCKXHs9juW7bCx
beEX847t3IIqWC7ePU7RQZBSM1yYro1fBJEpOgRymrB7HdvhIsKDNYdJ8dDoPpU/oG8oFviiJEaQ
mUY5HNr0Hi9IVBIkhLbPYUKNA0vHrVM1KBBVh7p2YzJAdcnBzciqCtcFCXSthea+FoLFkkJYSYxS
U7T7oBscRtyTfQnSBUyx4Vu7KnT6rSpc69ZrJcrI+UdQYudlVbU1lBXMxDW1IXAwmfxyJq+bmYvd
gxaR82XGlrkrFdBU6LFCojCZH7qqSGfU/0hqpK5Ez78oq7PORODYtxKeXCebDlHLyvKgKGZ0qatE
ONwceuAZO3Axb8N09hiTw5k3LyhegQeR4EkyqZFE1KiMuODdRaZPT2olK4jAMF3iupWMWVxkMOZU
/GTqNaNUnr+txulYrzhREK72U2J287UdeEcZYv7K/V8oBcMH2PDY/P3VBlXHNeC0LEYw+7Nta5/d
0LoV9/DLhRRM6x6HmdW+RwupsBrQp55goHmHqk3qiNXhAzLMW3tP1PRyyzmjc0BXoeV3dY/b5GeU
IgEiglNl8xPX+RsjhvyvcOfs2I8aXhkphKfi39k7k91IknQ7v0qvtPOCD2Y+SIAWER4zgwwGmZw2
DjKT9Hl28+np9XlWFbqq1H37NnC1kbRJoJAVzGAMZv9wznfSDg0PiocntqgkMBr19OWVBp9BFSLN
XLdNpzOm82KgGf9HOrj/64A6hiUXr/g/Bxzv35vpvfgTUue3x/zm93d+4QbWdceRIHLEz6iR33jn
4hdhWwCdsJDhIxNLatFvDR4hJHRctk1f6DgWNzkWs98bPOcX6AFEl7B6xsnO3/wbPB1GV3/u7wQj
cuzw9JeW0F3YPbSff7TNpYZJHGkaFUh3NPcO+9ngbHMEHduCr99LyKzrVbpVdijQWaUrr8YKJkek
3jqW133Tm94hwRzx4Al+xlIseE+lcq0Xcyic23nWxbdYBu2Z4ZKFvMdKPspYs27xqYyHgj/3dk7n
SyeDhWxZKIgf6TibUFprRIGAd8xH1pJoyGNyRb9YlJrnxrWzRzMzlmNGN4+MKY1LW1vgyckn9rsI
y3RYueGKtUDyRJ4qUiHC4Z4IuE/OJMVt46kjElzjLkCNQi54j08wSTr4KDDEVjJ1QUwmlnEoMzdY
y1DW7IOQoN56sQWescWiJcY0861apRsL+O5D3KFhAjbY3SokVb4XkCIR4epAtqbfCCHA50aRdhwz
XbAEWopUNhDbnk3mQ9/p3Zn197xJHLu4rU3RkgrXGhvGbP01Kwiv58xhy5jhUEiVvA1wS5NrPBIu
Nyrv1WC5R54e08vQMcVGM+v0LsusZi9TzvWuqSb61m5+R8GD5iNOqm1JMhdblWV0NxPVETSdPDbQ
nr4FafVF9lhFL99xaaxHQGOvAB7Dp26B30+gTx49Cr5PbMvMkoS7gNTjn1D1CflzfLB1hS2G81df
Nv+w2cVPTrs7O+NbQgcgtmkg4kvh4iKJKT9OHjGkm6bCOewD3EXBWirP8wkondiGL7SxtSYy5DGV
mosbbrT8y1jo8kFvAOHUS4MQe/QTN9hogKCOsn5AHJj5osa4gM7kaxqT4h4sXXnURts6p1kY+rlW
dM9c4AT3up56dvokfioJfPTbWruadlKdkn4wv1Bfy1WuJ+a4SlStSmI/pvEeAuGPKHLfpHSCc9XM
sCpGJzhhwpO+GgoZrrqkpDkIOkulbBKRFfS4oK9RiRcsntvpOAI0usNdssO2xnSiMFgcOWF/08Pr
fG845PcTqsF9GLvRTTNVKSu4bGOGY7CHKYMCyiIG+n4geONu6IaJ0ak9HgFEyVfgtra7Sedee8F7
ED+FVZYeinQY3hD56u8DBTK7LQYYZeu6p8GqWz/20FHa8j4ejfpq9WNOn5f174lV109ytKJdUyrr
teqrkFy8HvLtBOnYIP06ts4it+II/29d3YYto62VsATW9ojJNZVXdSfHuL3EblU9B2gbiSLJdbXH
0s8CSWfVs6WDxCCuT8k6yCkrkLAbIW7h3LozLTnuO/KEeb46Kdes8IzhCTKHc8TCMyEF0cozAhdS
h7vEvIuZTp2rgplLF3XNse0dHA6uk+DTsavKPqcIWSHyZZ3xSUqw8enaU/cJZ6s+M6ofGTDl7ILX
0uyzTQ+Lm+jotm3QK9j68I34h6LeGQjwsnUhVepQOeHpZRJAbRNYCTGQFsnivip6eTYLR23KjAGq
ouku/NLpdOlXzLnchdtTbTrLYbI+w3+67VwDjRyDL+vVgYQdr4LRBgecSuTpqwk2VeBj72Xr1cS2
y7dzHqIbKuXyhWC9MF+zOVcUZn3xAwmPPaKVC803gcxAMhhqo9cRDb/AhZhihXDYoWEOzUzlvKIk
o3SIkNp/g7gv8R8aw0utm3NxhO1qoWDVyulAwyqLXZe7Fi2GF2sf1PvAtTpZOS8KU5C78TIXZUCF
I9Qqp+XQJmOFg3HEugKavhi3yuwntXNNfWSIYXraqx2NGQzzcmRCB+KY8F4bF6y+j1nKomRDZHQ7
ZLg2NyA0YIXgVab2a7UhaRbGNoKPwZTlA2tX9jMD4gGsj0HTfujNjMZSsciOTuhwze6hIhHn5DRz
vqXR7gjNUlEI66LOGR6FaZWsCZ5Vr3ETEshBNnmBNFENwErTFnEFg0sbrWsrg3QVZEaCHcbCE2Rm
mDinJLMPhtGx8mmtePxqNLt4RqzUst5pp2yNz3YIYWrW2TVOoTSrwWvPmSe+MBs0KPy9qxhHHf2X
DAGJjllpb5WeQ/eUanybcMiy4Fe9/SaUjksuzNPpoNshS9gYg/kuNHrnGjA0dC9hGiCbnURuIJ3B
hrX1Eixzm8ZBeZ1mXgdC2ZlALWccvt/QgI0nAMHhky5itL0KjCtdv64PKxi2wycVpMKQP4wd9ShW
fdBz8qylfeusOtyVzarLlTxoGqHOODFAr1bkZD9OnZ2ehtzByZ0bBR/AEvc/UHI41LsAu/M31aro
nOaSAUeq6Um8KewieWEpz3MGZpofbYGgmdB0lkurlmnCEc5H/QyZOBeH2KEEXgdOTmIRSzRo1Y3e
4mgueOM0K2OkoOktT1D2Yfaj1noQRWOdzLeF1vON6QBtPLNQUSfOUONdN7rpedBd95AVYkIH5MwJ
Z29BCNTAj0YOVo7qFcrXfN/2FoIBzEyIVaTUXuFZjidzcvVvedFx6dHx74K48J7CeUQbXHnZvbBI
JfaHUfYMcqz8TMPF4LkkXfaTQ7e7SwKBzsRDw/fU92LCABxb5Rtk5OrgEUdKMiYg3AcZY6tacSpq
H7jeJrycyDswsuGJFIjhXUoFT3XZe4wUrtppfY+eP+km2DNJXDb1LmFb99LljXooC734dCK2vM8g
ApADNNPgXBMricKFAsAruXRhaGfL9OJFgKF5uWyzXYsQkX3Qwcd1ExBjQxchDmvdgchxon6NZM4+
eK/GBPmyWz0Nbcct0KPlEjBbr2kTobgABp03gOOXnWgK++Rec1IzhOKi6U9Vgu54DTrbuYFpbCO8
Q3gADChuPHVDjATDkFTZYecHkeyQGKf864NjLtTZNApeAhsEco7wD0hOxqtKl1Q9qXa077shZoFA
BBkpek3RXoi6nc/zuKADIai2V2Vk1XVwWfui5dDNrU2vuhCO4xz/5GTf4Oah+RPccHwyGFMTkqyM
rVEaChlyn8IwnvWOitZgONUiAbgjm43pe+gW5vtssO/TkMnTY9qtfms3I6+Il6U1gZkjr1Alqnhv
oKR+TyFOf2dLw9MKvaR78tBF8/pGE9Ba4YTfWbpkeztT3lOMZG0XzbXG4deZtymsx3M2MTRbcPsz
s+tE7rlp0UrktpEjxUn0ycEl23o3AZbW0yg61BOz6XQ4cOKofUN4je85I9f5K6u8/DNQiXWUgRZ+
IJabkJIxoLgxGd5ErqUfJoRY0/9vGn8lqf6LVBx6uYWM9B80jXH+/j16z/52ad5/fLbRnzaEvz74
t+7R+wXgL+JKk4EuzIQ/hAlK+kraSQ5srF2QVensfu8erV9MyepfdxhJmWwVaSx/6x5pLC3CZF3P
4uO6LBz/rWwcVop/aR9ZWoKcI+VwiewyzCVC8Y/townegBK+c3esG5igOi36xtbTKNu1qf7OJ5Lj
So+8p6GW7o7NVr7KydHwmZQGB9OusbHjWN9z6Zh+ScStyr18J/Iuecua1NmW0BtMtJpp/b3u9Grl
tTj3s2EKbzU0k1fXi7RtyX6CPRFt2A9APPiKota5VpqMh02kV+J7kLF0WqFHAAOu5dvJU+c4EdkJ
fJJB4W53h5o5uW0jvkACom/jyrvTVVzvGRypFzusvR+phjOACnoKdgTGqK1VgNVZZ0k2/ghjEbwp
Gajj3CYIiu2RbVRbRnu2t9NuMgmxaccaCaiZnZETu3dWFgybyUxKGB7EgtSTWsxDgnJItfNlwMuN
hHqMYJtY9rQLsoKN4RzE1bd+LsvPuI7tMy4Bkntc9Ti3uveMHMy9WA42E+aCfcyrWgac5XGJlhkr
LUCcIGq5WKY86XfuhAypK830pVWTfqSB7Y5Fan7HmAwOBMfwTRyhyogdt33IULYdrKl1IG/NOjkr
qRN/RM6oPZtB6J7quBU3odsGH9XIIcqaV2pfPXqOc05J81JyM515w/k9ZYfzui6QruridmAcUPgO
vIf1xMW/CXT3C0Bq4VPHqXiV9X1+rNMlc51zE3E9NBTERIrO0lymerbghdLA0+cmBNU58PzIVfpL
HwLMrO2s3nsSoUylUmNpu9t9ZeIUHdDX7dyQHW0SovTtEQSR7DBYCeLu4MmlxPYlKs9H0t8Z7rfc
Yh3bsteRHmyvTMxRvXDyuzgDpLtu3GhYIRxhpYEm3XeCdjOkzsLAJiIKj/wniUYBlVtRyVvD6JOD
qt0VbzocHBYkN0M5ez9kJcJvY2+ghh6s/GkazezoRqBchqKoufxHr6bjBQU3VLp5z3RDL9COaWIJ
hGP8KxCU/mhFe+eJRlsbADO2IE3N29ma8m0y2OMtFbdikWzyqY11L/uWQR2u2UAu+4+c18xLDEx6
TaHeZlR6J811q+uynDrNceVup0Fngz4mP2qxkGcRdFaT4zylFesbCrt+1SCCls3EpkamTMQpjL7B
BfBuI367bi01GPh6MNDe1iwGb7tSDy/WjASmiwAc8y2baWaLodF3rcXWVAY6yqgpwcOWy+K7y0Tf
QzKo1XtNNmKLa9DdYC66zKr83hrj0U2DZK3pg29ix902MDry3qr2bk1QBcqIx6jW/NAoTChsCeFO
ZmT/K/7T/xbLtUg1dME5bbCV4BBehmp/wHMFTuIMZctxQDMBGBhB4bIKrpBY83EsKjIsy0UJbG6s
tnjJxowwvbJu8PPPRmytwqBg6zr3w1eQR8pn75udPCRRDIlNLb0pQ6t4KSHibVsHSM7GtiKRb7qO
mfAiuEqv3s/vc/rzu21FrSUObI2EfWiXc2GQrCDgKVmYBpXQ0rc/XFP/YLXoiL8IQoRhIRJZwsKh
F9hcPn858VEUMEhMQ31nyPAB6S7qitR6wPn4pgsdcDAD7rV0wvrGaZRDXBnv8dbtR1SydQNYYKWF
sjHYzEUlAoA5GClh5eA3SdZ/UimGj1E+TgenHvaCyq+25npkM9+8uW23LYkVQEDWHs3MdJFIxt/r
eizZSBj5ZcREc2BgWmMSzdTRM9roaNZ5LtZtivsHZId1KPrGstd6qncbXkdzHQxp4vd2jyrNG/OL
cgbvrXTT4o2Nfr9Fe1h8mLmlbmU41bdZ2MCaGRZ7Sjc4L6XWBAc7t4LLlMf9lf90ts2s4hecVtER
cxfyCq9zN0RJyd2AuH5X2rCZTHeYDqAUMJLjwgvwiZjhA3rFhAH/HBLO00YDA8g02qYsF3bNIMEU
c8luMitVHXeQWmIzguapM6Xhh5ZXPVHie35Ni/NF4jAZXx2xYApGFhYXmZxo2pbtAGbDJw182J03
u9qD1Q7mHkUkPosZFckn9tjxySba6Uk6ZXEhgam5IM3tjzqQl71liOgmqPVmz+TykDeu3/WR6ztl
061rt0W15iiDAdkwDPfjojTsh0LhIs6MeBcJprLZpLA2THXzoIBxrRk6UOiWhgny0QoeS5a2UI2R
SXbJQDTILAewW8AW3hAiDufZMrsb8qkivOzteCpC177J3dTaUjjHN46c6FQbx7VwDiUTWAH0t2u9
6SEBISm8Y44ANIChdr0bjRArX25nPvhKSBdQTDZeP6cXNUTl2Sb0Bsl+QTMWIoIYbce7j5ZTBIk+
5Ypz0JCiNjhAJjN6yGgqCP/IcfZP+NCQBSZYrNcJ18R64qhqlzMrtDm9guUcs0Ijus9nTfuColIQ
a8NZh/QJ1E1jrsgg6lZFm8nd/PNgVD8PSU4K4avl5GyWMxR3FecMMvaZgyDSuzXecu92Wk7ecTmD
G1OMx2IoOXMruFkvRUCMiDlMnOhGWV97py5PM3aLN8lwyy8zx6E5b8xt/vNiSJY7wlluCyODqLRK
lzukDtMYrh0DongNlYwrSPcqRuSeNnXMDo3aeZz0Ut5hbRYB8Wbca8zMLGRZwALkriUW+aj1VbVt
l3tSNcnsJz9v0KIK3Y+hQtiNNlt1mFzNuDpVWd5zhnZ5vS8DgryCCOAj0JLlSp/1ljd2WkLcwLj3
WyOvnWY1t7xFzs+qgVCUwteoJOalpAAUSHGR2kOCH8+RfrTUHTrlY+BF9drOo65gxOO6m0BT4ynP
jMqHITQeAlnkGL+w7FWUPmDS8+SQKGUiA0B75hu9h8FvLPGM0+mlZ2m2ycECYHZOwtx8jkpb3HZs
Ka/FREwkWLqo3TJq9z7ruTIvIzO9732m+kvcTvE3TSXdQ8AwqfVDXTmHLow0X8Nez66ScQ3Npje4
KAci69bWLLVvtDrF+cJDOTdMmygn05SXnFgx0mCq/LZTPXGG1eA0H2PTv+jMP33P1ZbBlqXLbY5u
ZefSRT+S2ONuErqGAygctOcRHuvH0GOOtapaCcInFdpFzqV1cOxRPORJaV8gd8k1Ij0+H3lcPlZY
MeJVqTfZwdLipPNzcDPI+3q0G6FRKfaPY9KeEfaEG7sfvD2Fpf4xerP6jgG+4jWesa5SkIbWdiCH
QF+RS4BNJDR4GScm2DvyDvkWZ4R2YdKqmDc1rnb06h6TSjKOx8RhAIf1pfEAUGEtiUNNfzVG9zJj
u3uE1pOvYY9kuxh5xjHC6Tvyorn2PUiX9C2x7MCfdV0SCNTk3UfILOmtUrgKdEdk0PXSYMf/8qHj
d9nwjOSmg7N7MiuPD7/mdBlXuR7fazXsr8LKFo8DG4F2NUy2uMT8GkFKxpa0iREoK9yNyfypmxqz
z47YuRVnoqX5lZ6QKBd3NbA1U38p21RgRGnVWVqMP0KDafKA94IHOzO2xAj7BhCWGru+y86EHmCV
efbR08VXPngfgFYsoFZ5RoMUlMXBgeXHt32gKC+SOrwy+Z92nDwU1kGqPyVj7KNmzp8MUZkvojbU
vldZ9TxImTwHrd58soa3fA91/77vAGB7+pNlZ+gosZvYBynKM8DXu4QJNkX/CMFrHO1NSmgD9OYs
asuN3o/g2DAe2gCHGYUcXLvj3g1SeWSmZ+3nrko2RiOnV4zrFRYwhOnjoGFHiezgu9nEYhfaLqwU
p1zK+rkYKZRHBDZjJCDIRMHOE7W2tQ0QDQhR41M1meF0ggZbXm3UC48R/Qs8auDXnz26hGRtpa17
U4DMsFZ9aCUPRTWwmJgHXN8JYq+tk4iKlQerHA+xV883UdogMlB98FNJ9ctiVDGBUzVHMwaliK6V
373PgsOg3ORUGEO3dvlFJ0CSWgZCJqzvUruN9gUqiM3gZe2uCuaRxsmyVqR0IA9EwLWLJf8+oenO
S04lGG+CefLOwFmmrayscmsZynlDy2TszD7Gb+pqqSL5YuJbSwobBLkiSrpVVbaHJGtf2c6dZ0f/
WkD3G+wlxnvXa84dG1uux+qxRcDPSC7q2qsZNlO+G0i2/JGwU1rhb3jKiaRYa2AbfUhHBmqwZti5
et2uJhCDO13ZzJRYYT51IfQL7CUcxXXTNxxJfeeHWMvuKyfIUTexstb8rHC7R8YT86NdKTSeqU40
qeHIGz2N2BuW/M6XrCjNc0LLvtKC0D6zQjLvEdt1+NK6xi12nuNpD8BxrYtlFMMXdLoASUwxIJtZ
meEc2XeaPYl9Q9Qsa43inDPdE3qNJbzFSglKK9nZsao5RUx6jLHV/Fz+gKidJdjTC3Yh2pSRv4d4
zq/YSWK1QUM7pKfO7G+lrl7c9K2cr4BNGe8z0asLM/lKZHibpjkudDjb944M6lc+X1xeLJbuhtlB
TBQV1Yve9+wD4owpBDZ5rdmRm6NeZ9kO3+zcs16x28hnm0XSutNbcWgZkx+5CaIbO4NXQT6WAbYo
IydUg3GYJOGha1A5e04MemBU0T2bXPs66cH0JhkLEzEb5odmRkGLDlasnSKV2d51GzlznzrjC2M/
e81Y1rDwVpnRPhQyP2TxVG8E410WyACdQFfDjSfybkeGpMD8UCZ7UUoa2YhKdsqwKfaxMe6pIYFT
CALIGTBbenCRGb5yZKRYnjMlNqlpRN/QOsa73uzkmiFvvXdF4+1xCUV4EOIJBtniLuc5mASW5vOm
h7P3UvfTskEdAXcXcX4NCw5RrJLavO2XC9e1I5ZxRvot06bqmArsV2mAMrdJSQBSMB9Zy9vi0WMQ
vJlVBR2PMwN/8JRVGxnDglh3mTbYa+jkfAPTQufAnjFSr23FN4unUq47L+cRfZd36wks1dNUgOzQ
WHZ/r8LC2kcpJwRM89ZvO3viqxLn+8Jkyt0VRbMy3DSB/V1ymg1DPeCOlv5E3MDJNILgXLC3gOfw
IRnMJKl+CEseEQUnQGApEX6jtVFlxBTfFYQhDvoGcfR0ZMKH5rHxrvTla9ODcpOaOdBEWwvyc5Sa
pEIO6F6ZE8ybeJQRbRIGwFXjptkpcqXDSxAYh6EpjR9scMGmmG3xFQUDMvnBjQ+uNWmgVAPAQxZR
nceiSFJQuWX6CgQSi0udmsFVaL13Lii0L/Qq3UnEUh30yWayxF7Xeko00S85vdVrbluwe6qsPCXa
Qt10qmRfsXrZ61ac7UTf1DeFVbR7wnfX1UgpOSa4Wk3hzSxFE2PHN8z61tGuXdB2R3jTHfK2c2Yf
EfIHg4hJluvAIE15HNv95PJ6qsIDVLMEHkfu1Sx6jwG5kzzZeiYOdZplSC8RJzKGlIdgSC6hZQ/q
1+n29/G/h5/lP+iFzX/UCkshXLbFOqQs7y9IcoirZhCQk7XTIJ9vpEjAjIQ96NFaYt0FCEf/a2Vj
+BjaRYFxnfVS6UdRpd2jpZk+MEZVzSYTksDcGF/eKlzmlcx0LKAYng6kzYhwtK6KnxNOnXhFgMwj
A8IJAtAR3J6A2EyHqP1K0v5/2axDcgoS6H8+jz++A+D62397z6v/8bfTexvlcfOnkfyvj/9tJG//
4rjM3KlvDCGAcSOZ+k3QhWOHMHQyJNDdStIp+ED8PpLHlkNoIJ5uxu94aZZp/e8jefMXkxQUg1E+
nlXbZob+byi6xE+2/9+13xq7QxZHuiOXT+sfhlKEE4aGYoi8A2uDX1FjAoeKAig1MwPEuCK1y42H
KQDSoEZw2kqRELZh+16fprEPDmUY1tspcuStXYyRr0+j4+P3HfcZ272N1gXMpyotNMqtkkbvUyiy
mQ/gBdZlNx1yvFKrjLXW87hUOw5N6qat9WjPZrC+M5SZPoekXSJ0KqMdDHM8wnBPT+QueYdiHihC
lroqL6LmyDiFMAvDi9/dpf5yYuRFPpgXyrJ2qdDcpVZLl6qtn3qQyj9LuWGp6sqfBZ7jGu4NAB7k
JghJus/wZzHIVNJ87JYKsZvqeDrVdR+fJhh98MmJsQ3Ale8mykuBA3ttEyyqVqiFKMFTk2zpwKwE
WBKqU0gvPctrKlb4mLBE22J+ZWmebJgfWHtjqXFTJ5rgxSAKPLVhG1hr0sGWqljl4DoNFG/nohFq
FZmZgnk3BCeZONWHQL/D2KPSiNoCfJD8rMGXarxMivSZOUf1HJIntteXqh1dOCZhXYL5jJfqHu4p
mM2Krep3ZangaCnDNneUwakOqLWVhwGwYImfKdYeNS13xvMs0NjukOXCDDfmeZ+hu1tqFq052XpY
vWsVUWac0Bj5tbzrNojj9QW6zk+Jqwhnk7LAdCGX0fYFI5oNu13DnzN78mFmwJW3TTySYazMK2Po
/KseeBd8s7GqpzRGQbdyvboKvzEcJFAy700kMbNNwA2ekJxdskjd8C6HknXw8jq6SJPS0qiaIOLt
hi3Ey9aUaE9UNF2CEBdCy/xwI/iR5qXhKb6rZEQVJDV0fcVUg3pwtG6knhrKLTEKyFHo8ptDJDRy
ciMj+Joqm+cEE1EiBTJAeK0NPirRJsBJf3XsNnjnPE5hWAYaf4yGyVwvlokfeZNHIV4T+RLE3UJ8
KZv70jThts1eZcRbRVzg2kTmc41FFn4hJ4zWI3w2VkAxSgdZgvbDNtt0XFXDTFfhuZlS+8TV9B/M
jqb3mf71m8U/CxtXM6wvnbkAX2ns4HgzIBoNKwJtsBRZcQsjvOozuO6ASV3Lz6hY4FVBaSv9sZeC
1UjeB1tTc1xxieK5in0u5hC2XDJC2KkjRSQN6h75YAFwRC5dacQhd5CZzQ1CY5f7elT65zDVJVbv
2NARiMxhQxEHLhZdRiCPxuSELUMkz7tm4/jd1JkXTgZMAVHM2V5nvXId4XPejIqsudmoxYUXhakK
+IDxacTV9c5tGh9yu0kP1RRgDWYohTPP7rw7cJMmO6k253edwVos5Q/v07jYcihjuVnl1MSYsGxP
VZuBWeye9SAjarNC8thX3icxgUbqjx2eOGrp6APIzfARBkm/tcFw3M6MQy5xARK0m2R+SbwFthA2
GpmzgtjdN7DzFl28Y8H7zGe9vMl4k9CQleEbPyTf4yvWL21ioC4R3huSlWpDbWzfzD19hqtILol7
N7vpJku+uSIEGFkscxSnTdiNYaYhz87h7EHpkfakexuIq3qKwANirPKI5K7KfJeKIfY7xwxuSE4d
95Mdu5uoYU66gWcU3MCgyFhRgTKhgCOjoVrEbzBGK+F9sy3y5hHPeNdyzu6noqBKHcdq1Qu32ErN
nQirk6p6tCVwzLzKYK4KEX8vzUggVJonunql73BJZYc+sUDZtHjN4eCmezOGT5FJkitljfyfr3qz
AcBq4SlENld3Qjva4SheyWvP6JAj0ewkKzkkf1l8q3HunXPdNu68VmuY1QW9r5dNe5Wc85c67AOY
XSWu/V6l9c4eInGxlUgfDfgBn4ZDWY3SNu03yjW905yPyZ5QyXivCjnsCpKYj8xt0E0QZAwGjXEF
YN4hT84hPBb489Ywf4Sa1+6xg8TXnNr1gB7q3psBNvicluhmkViZr9zbIN+alH5dysm+n3WWhFh6
hhp4JqY8t4Pbe8dme2S8UkZfoMvDK31X8GhWyIX5djCnCYeWHrttxK2B7uV9IDT8mfaj8RGtuBhz
pnwvBLrclVcYMASxDNMr9YNzn48WWN9mtv3MmoebvtEEKuDIYXicGMExDCEez3o4ICyK420Yzdah
0/oQObPRdVtHS7KrdNoci0rAYnmuouaT8Vcc3ZpOP7+DcjTYeCIZNld6Wsp1Yo3jTYR/Zh1OAWo7
5DQ3s5v3r2R/Jlu2POh5uMV2kGzL5Yx3o4qeLkhJYRUFy1urup2xElccgbX5afVlgcKE4xedHYN+
3Z2Ja1Ru+z2YXUI658Lc9mA1jzNGm8+cmeW2NNr+oQm5hlZQB9KdxdDyGDKQfjdjdp70UmZ4F4Km
YdpODuS2liDcSIm0oM0J4NBt5agTmEjj1OfsCT0NpFllJfFuEiUnncZjDkRzsGqrg/GSQJUESUoP
3tpuzavZ1d+CoWjWOdfJOiygLaZj2V4H2bA+dQPnsU28/hL1A5OsfOK+ZuRycjX7loV+cWh7TVAM
tCyzncR2bjzu1Y+ftel/dYH+T70Yyz/0vYQDEIfMe/7nz4RkWp7Fv/6n/9j8DEW8V5/NdP1sVdb9
Xpcu/+d/9i9/yx7+V4oZ26CPQnPxH1bp0TsN/V8N9X9/5K/1uev84kmKaQZE3qKYWarwX+tzd3HU
s7cVSDd/Oid+r85NTPguuTfsci2XdEb5d8GMafziMUv3cEhgMJKU5/9Ode4YfxXM2J7lAnMn6Jfn
KLF//LlK19GVh4E2UaUbYm7WmdLhNiCxYUXcogfl+yED+7kNJz2DKWUzy6valBopnJrQ8NvWFCwv
KhCEA0eKBXiaMHlmG/nZHVW3NYaou5IPyrzBKJkdyZwcl4pzdh+RnHHiCeU+htRhP3jKHs6TdIfx
xmaUf6qgm8Wkb6iQxpWVc+wvy5oI8KTTcv+zrb1i65XTio882jEouRR9Yw0valc6nDjMqpHUQniT
fPBREtL6e0RGIO0JkmuvZL1HDOvAGB+LF0ksobdWgaF+8MuR9IpkIlvZoaUeHZDjwxpuKzFTA5jw
3YD0mFNzIHWPGXhubem7+hBEcu2UW5L7RAneKohv485A2ErCvcj90KlmINhpYKHl5TxHLIlowNkn
GGX1vQD3XGB9ELGzoN2QsLK+0N5KFXjY2MjWuCmDMnmvcxXfAD8Q+qopSyc+jeCxZ9/NJoyjueU0
NjkQDVrUEiruSziU6jWjVUCCq7ry05w16ysSDpZ0DUgfAJuYTeHAlUFFhYyJ7stDkiq5HfaGZg4X
bdZIRWYj8d3KI1qXFN1mtsE4ob20teCUAfMHT0ZAJLlgxA8q3xRhBuOm7eeQTNg+eyytrAcWi6mk
WQuUU+V6Sdv5sivWe2t6iuwV06gVbBXKRWa4ixoWjgNuPNytIPESZ+lAVKB5J4OYgK1RFT0Ve1tf
qkmrOO9gMLDuqq9R4uq3NSYJDZpQkg/c/RL7gYSXp7fdeIvFDsnnVENDKyuHJOSmMzcEfZJyMVbM
z2IX+c08kXXcibrcltKYtlGYEm4zkayjh4WH2S9tn8aqjJ8FA/mWig+foYuUl0l5Nz8Y5ThecHQC
q+/w5Kcsy+4SZnCbLEX7D8AvPSP/9LaKn7VzuPbJXIIsCDyAPHtR6H7Y8pSGuQHzCuvwrOGeW6S7
wRGVd7n/X+ydyW7lSJqlX6jpME5GctOLyztrnl3aEAoNnGcajeTT10dPz86MRGdW5aIbKKB2AYS7
S7oibTj/Od+xyiTYV7asDmRpy+eOQQk4WpsjlFNuhCQX0gfUF4wXI75OjuxlOkNl1DgzRkCIacJP
qpXwt6mf9hctt/FtNKTzEzoiyWWlprM90BKTeMsYtkIyeZMz02CzdPj8kd3iW2wny51tjf4Wgu50
w7NuH+g+8pptAn7428c6cIdga20z7uIPS6yXZ6OkxKfwVgykzlqEQHtqqmfkaOvFqTNuXTDfvlXS
Zc8eSF0kQHV0oHvdZCJCk+vzQd7OVtm+trDj7ypyGe/ETpmjtpYXPFipghiYFKkIM0zhaNGsKflm
wnqwg6G8YESQ1rtecCajuPXOk2W18Y0zFjkm4rH8Y4oz74acpXzLEqPfJaUbwZeQ/Xhv+150nBsw
y3Awik+vjwA2MmCzQHAa7nyTedwcNoHImm+cXObz+iA82ou3fKOU6mbra1E8La3w7uZyuvVIl43g
FDBEh8TxND8ntFY4c775atuMWOGqThVDnqKIKJwGOzSzRtxHUxp/lVypqegep/klDyqMYD1L89GW
q5OZg5z9nXc1mVkgG2AV+tyieItzmhUqYBjwrtz4vivj6p2hP28/EHNIouTmbgXBBQvOIiJxZ/rT
pWvFgxnGy8r/bwaoXESNGWXCWrd8bFeL5BnourndM1Qhau5ETnfGfQfZqis6rtiVSU6IThq33VVz
om5p+CtgFeS8JI0kdxX6g9XfYzek1q0mSbMZMRY+ZBnwSSmBSwq6mS4Y50X3ceE4rxHg2DNNa9Gb
ofsHstnTJQETzu4N+Zw79Je8PNYaIOXYLxbzPTtWJ7qzqfIzjdkiFDHblzL3h6uizROUJRkkwL2n
4Bp+DefJbDEAKtaFs9wxcIs1d4WBubdIi8eEoqU3KzM0wLXYuwAvKaA5ZvqcOoG8LCx8gGmuShxE
igBNnk/BTVnNEEtr0vd51hkdL9nIxL4QOjV2A7K8wUy1pXxFy6C94lWwniTCyx3eQKhlwyjPM9n5
9wm++btR2OrA0Z3vWdt298lB2QMLkVqPo8mdanFo3vWRlkF2dM0HNSD6PWiyheOu7QLfyA3KBmF0
6+4o0W5phRgKRr9m9R31XBM262kDjgzIqrG1jXlruWgwA/yDy0xjXamxuW/GmSP4xtNuvR/ANp+S
ZMxxzjuGJPTgl80+nXL2W78J2usgYXnZtKZbounpUb8ThkD2SIA53ifDrL7tEZL2jZmDXuS5c3Ls
RKVXXUWpk+0rBRG2I7m0StJ9d1fVXhmEfU0nCxxbzwlzDqsg6Ugs8/zL/BrEC5mBpKzPCRNKwing
UD/JZDA0gYWowWfZdnoBm0EHe8saxZP0ivSZPZtC9C5tiLN4QT2+URHgXhSF3xwC6QZPQQJ72cQV
xm24BswW5pZa0YyYS0/p2FePIOVWOXHoswtc8MK5SOhefoH0Jaft5HantJeSyUNf1eex1+3FwFzn
fhK+dXaCJN+jSCLb+ADzFm6ft0vV84EELLrr1H54cYOWFlQwii9CUyhfDC1n9cUvYK761X0QtQ6O
Ndui/0728mWwuoTggAZ0siG140anDArvVZok6XURtflLHZgS1gKf2QFvK3antg+Ky2BW/mtAXAIM
nvwpnKI5zJLSVUpheZxjB1MYA/FHojn5iahqgZXEbnrsyV7vPUEWUNWuIb19SKAWvlax0M8WSyfd
EFbXXJDaCHYJNxWxAeg3HS2Qs2e4/Oo0z/iNrIFupCgy9qmyk3ZjZBllWqke32ZqrTJYjhRCFLaX
v/oUzjEzVbZ/7LDfXtuzSpjFmWL8itw+2CnCHh0Ho51oVsuH3b9X2EKPWDXyjRpy98Ic/EfYT2Aw
gYGa3ti8dE7RHUanwxbrjRh/lmx0xWEyesSTuoiLh5TH5KWdBDSMaFyOKXpkyfXbTO+tJRinszLc
IAtr2JLxrrIt52fQD/MfDfb2FHJlahD9KgJW9ayMenVc0LqSkMtNF4LN9vqQXzP0WkDFJLRUU7ym
rdR8iMGIHkTDpXeIMsuEOqDyWwo+eFMDIPrbejaMW1mnj9ATvNvVyv2YCswlYW3jf1GOho2CMw5Z
TdTGV+OW4nHIM/uYFdAAMsgL+1gkTog5wH7UziniIwcXxR8vaX3uSwH8RWhnp8sOtwAyAYG8pDyV
Jl4qb57i294fmq0hzWuvTM1ryVEZ1Ubou6it08t8Kcx9bqRGEjIcw8CtI4sOCZyR3naMamuPVz67
NqcJrFC7ihnYo9zyWObxcEUTEWejjuvMswsEmPoM+qbtrTVXBtwbDojPEKykv7UnJ36G0gehD0b4
feNpK9vailPi3myrAtu2AXx041oBTyd5u2s9z8lt7A20EGCKnHFTzNNy9rux/dlLUz4B+J6ZYnsg
KJ1qlM89LYt3LHbgJ0qmAa+8wGJPNVbFEdpA2eOdqR68ZYqvmtztWFHxpm+DpfHxWRjJdyDHElce
peGUrnHePFX4wTGJL1VAcMkbenFsysHa273dJ0cMMHbFqjmbxlYR5IOfV1htGy6i5Lc0xDH9Car3
0h1uQdeC6e0Y7xSP9Q9VHC0YDzmzbxvYlzcoxOq19uRMR8g4V1e0loUtBiIoSZnBEWcGoHzj97J4
7fOJG1oCiLW86atEUMbYghbeuolDAiswItI7hMcgLYsKp+5xakyHkyaPMkFmK3iJPMVFZ/QiKulz
GBOomqrtySwXWHdXNA2uNbmYL31vOPFhkMKnD0VrehWtOH2qDeoo78q6m5mnZ3S+oy3FNbxCCEn7
SAxAIIQHSHpbxDwcN4O9puCKoiZ85pMAY9MrAs1eNd/zzlBXxnSbdEAC1pxEYQk/mIQ/QPuLiUjp
C8uSey/x1+FxiYKLapyHh2nO+5zT1PKCedUzGDVgY2D5zYawYwyAjbOV4Bj//6offy9+/O//fsTB
f6mQXH3FpIre5z/jKMQvVCF/8S8CSWD98Dh8gQcE/oAe8rdMkR/88E00DtyFDCr/8n9+DzAt+UNI
zw4COqml7cng74gU7g9hCZzwlss+ThTp30MO2v9Qr+wzPHV4A0Ug0WICz/mHsboCZ+q7cFSOXcDz
THI8lzhAbDpeEUrS5BNBtThDVpmak2tLBYp9prZUaqYA+ziI7CcqbctTNUjJK8SqOm3KlDFb6Oph
ag+IvPZT0EP8jbQWN6VhuMMtUH9phx5GRzjZjpNxA61xgh/E7APEFUY9nea+xNbnxkm886MB0hmu
P7EZjWLgCmAaj4FJ5ZGvPPWzQSPHeecHOxOEethW/r1YQISPtrimnoNQaN60cGn7sfvARdig09iQ
wUN+2PiSRsOA7Dfhyks3wVu7BTzMfUMV/sFZwOZ6inrY1kqtY+TS0xK7y8ppndOj5bRBSNPaRIl3
gUStEzt49OvAP2gz11eNj/M6m0suhgElwggNxIO4waz5iBBft9U8j7WvKa6op8bjNFPfm9CTfDIo
CNO72iIjeGnBwonPutLjXTuy1KOO1k582aY4tw+EVUf2OV3EcEKqdgKrQO1os40Nmy6emUVh3Mfm
zHW3YHBj3i2mG8w3HX7u6o5AHfgbUKdRd8yz1VqfNL65nJQYZHaORqSubZ1FJjq/ku6yt8ek+Dmy
urt3fom8sDdpQPA3RWIBP4dpnlM1jjKi9hGXTKbRIvkUNezosGzK4ECVo/nsRlQIYL6N4z0Zyu8g
mC6UocHfV8yEWVJhHpNNPxqTP/70CHgyS49uNd2RG0lJzepVKoMrmzqqknnyHQww2GiCOERdRNm0
aV2hD+Sc+0+7HL0jEPIkPaTjkpo08wl2M9n4j9CgVn3dq5malungPxRcqi51xIXSQV7Zpv1QPAw5
FDZlU/aLbS055NQ0noUHWHdlQuxE6p9VNwcEGszlMaroj6RTxj1LmaEwZAYeWFPcxNjv8rrvH2aH
Q2Fiyv6GSX6017mmCgNghQNjpGNgW9eJB3UX+EdMUloXl2QI/S3/Vredy6K87IiZ5RuqrtNHnlZ1
AavbhOpg1TMsuSDNTnOcay58kdqWjKCpB+W+GIPuvwn8aHzl9GTg5K4jsw9ja5oxAWuS8ZvF0ERA
IC5sqM1+ntKUUsMZeLJmqsslbXkmu5Z+uhaXxc73mgeqBPAYJCrjc8/mg8zi9tUj/n4qjEVd0XH3
VSuF0RhfKL0IUzQc8/VsRju8kf9sEBMfdD2bDCyS3Htr5sHE/Evj2EkX1BPTram2sAlI3nDb2blj
q/aiJXmyBHj8u4lShdK0830xZSJ0urg44h4/ixKLq6vL6Uqu7sFI9Fyi+7i4jREMzn2TMRmZk+Am
ttvo3dFjNPy/ce3806HAf9ttEesMO8g/9/ZcvHcV84r8z3viX/7Wb0eP/8N1LVAe2HIs20cN+uvE
wHN+CNJOTMNIOoEfXfG4vzdE0//hsOcJ9iq+AQ9+0v9x9JjmD94LkmH8H4f/kP6/MzNgn27+5uch
ZOX6vsfWasOIkji81///d74eSa6y8QaafdEQjqimNzLKv2G47schx6g83I11/t1imv3LOeuf2tt8
7x/9bVL6QKYwLQl6PvlZMDr9/VcGLWOjRwH7k9CzvyJcRxvmawzgtDsC6LQwbnOv5CdgDpEay/3U
N0yH6U1aKHTsm29iZMRNc9I/8GVzxNvan3EIWg5IETw4q1Ifc+2DujH7OAFazo4KKPbediP6yTs6
oBc5emcjHuQ+RnJdmChzs8ABTUhSdjc6pgFK2vZHhmi8xZ+xz2BdhYOR0HHdVvdzuRoYYrG+yILj
LCuNM3XZvT2ZEplwGu1rE1PFbRGb+bXH+Hn112bg2/1sjUTw9aJ56g/QUcq72a13MEQukTz7q7zh
oyDQYC5QYHFKcblO+cuaSXRIWeX4YUvDeRq8furDXpnxTYqV/JJ4iUtzKCElC2cyqxNw1tAa3Ix8
aBY/p9oM7pm+T/jAE7ZNmj1Nbam7GeLcNqoHHKIYISHldI6xJ79mk3xbmV3a6IfvaAIWSElGQAgy
zobgc2g0c5tZS4p9u0BAFqbsFKA4z9g2auzkvmf4yTHFmakRLVAZug3ckdX07ScXnBopkaDh8dJi
Xwhtw5XXUwq7V6QLFalsr+4tNnYvhOUhLtNfIQBsnbdTrGOGw1zMGUy00PABvVQMoCicP9SOmi7H
zB/2lAhV4VqqsM/SYbmoiA8/cUjyVNg2PTQmz3brZ0xZ+IUGw6e6kC0F5dYfg/o2tuw62yROTpMK
sbIBWE7VlqHTN5yasAqDYxYiRa5P1l2jsChwZtIRDySm6AYCxUsxwQ1/TreQRCvzyzU4Ku9ihMTd
6A4BmFpNiZYYSSmGip7V0DUNSsz6kWJ0v6qJUMcYqbAKcb4+OKShG5oGGvfZnWlS2i3ZTLgEUg3N
ttPAgUR2PQ14tdfMp6jsPVrqare5IsIwvGEo50HKW/GThrbkKxq85oNPJr3v82p1u7g4Rtu5oLg2
dVTy06lI2dDmlMbwN0GYbKQwx1u8VXyVxUpI6UV5gHUZ9/abbpz+LDGDgwdChMfEPWZQiRLbnHdW
Oll7ehvmB6te7PuKqQkBadMaiGdxRS8Z2o/TR8vxG9k71s3dGJnBW+/XyQvSXuHvHL+rqVaGiwOB
LZbP40AJu8cReNop8kzvJbjbJx0HqA4WbWvvbYq/ZdOw825NswO9I+kkFcDeWvPL6FPzIRma8pki
zehO4nP4WSm0302CvmkQqrbp044y4naOidN+h62jfKhl6+x6gvNEZdqYbT4i58tcCYOLvYengmtP
doVhbuWERSJOpFxAAVj+AUQw9Wk0Rpj4vGmhm5nAjIckT7p7xhQtYlwsiosFrdlcSxZZRXKKHTWZ
C23czA03AHw5fv6czQZhKyHowgtl5dUfQnQMlSQX6CPKJVI8vfLezEpoeScF9HVkKLiWOzeZn90a
ZZHcWoPnKuzxrkdZD/mRu5QB0zO/Urp2G1lyyPQbuYsc2T3EyHlbp3Gw19hueUeCKNstDVoogv/U
/rR7dhMWMwiomhvdG4s5v1E6YA2uDZ5JuTpIGCMIAeJClY0ZOlD05pfTwvFWD8geE9+pQd2oiiVz
Y77D1f02ViwLY8QEiKDgMl7rQernQpDiCxdKZXsAXhirjgJsxSvGt9ENY+W6VMGZRkVvziyg7QWW
ujWABz75gNvKsAfTTOZOV85PTXXaZxsv1PuRgGZJJ6VukIYA6UzZfZEs0Ab8bo5PZmRYNE3a8M8R
ZkRySyJS09HMlP1cjzJODn1hD0A6DcVkdVYmb1dXlykhkjYzIJ91E1TQGF7UrrKqaN9XFFJtdE/E
wbHbjNtVszD6i+wVt8OD01HYQ0sPbc21UeYENCn0pU51dhnRuT1/xHRpJZs6qr27vin5K/5yDjCC
ho3lRwDHuu7NGw0TjlLnPdMcU55HiuEu8E2yEAsko6NMZnbQvFLzS+mbLHqxn+prZ8j9alfmrNRL
lZPvg4ffthvbdbzPupLyYcotwvxMi4Dj032BM0Z53fesxuQO4wuuwrTKyP1gD7z2S23u+UHH0I7r
8qVCqKSt3q/TMFupqLFcb2iyWi5Kq6KXy1P9hcert4NRZrwvQ3ZNIDbaKE+s0358pHjk3OLaiVSv
d4qajjVTSBoQv7/riWOEVYHBu/KjdxHPSKtKcmW55E4D8NaXY/IibPI+29IvUjJx08RdpDH52aYo
mX+uTLtHlt/mlqESrCsxza81+/OlBHzHMAtY9mupiJNtzH7xJBZ5ybh7zDxGkZYyW0p3Z5xLoTRE
96YVV3lm7uN1NEXWrfB69wuxkUgNV6onlxfpIyA+gRZInS3TnuJg0Z/VMI6gKhDgBAiRhY4vbJlt
DzY9oHcJBa2X1l1KwuWhrk3FjdTKi8t2HL1XF8Pk95IT3eIi0UIoMmk65YPLEm773A8nyzktkzO2
YR1jEZjNRr6zu6R30jSTiWWLHvRpQ7h9Kbb10GBW5dqdezcEe+qVTLQ4E40rFRXDht05uEFoWpgA
V/EScFUj0YRJwQqi63qsX6hoJhwLrHlLeqgO0xKm2Z6DAfRsNRjeeIG3WVKeYxMvb2dAXmEZMRpq
kslooOMWB7OM5m6nGsOmDtXyP1prsC+qBATdZvLMuMNigE2uNQx5qRzztZVR+0RyxfnDzwmnHD3B
Y7YL4DYxBcPuSskDMvK3L42M0YjyIBKTHkEIsWWMA2G0USKhCFDJm0ygq9H8FXNWre2V4Ddyd9wJ
nxQ8NceTUV+o0XFe9NDyRAEdqzgIQTgLHUqojl0heqj7zHC4lw6T+d3lVIuyThfxz7Sr6CA0mPne
yDQFMSPQP3ZJOnPp9RLMIJf5VM5nZobGH1HaKQK3TFBzCMK+CBs3H97sdlz1CpUab7Ehaxna/Zy9
T9pmFQiskumGST/4Q0X4zznGY8PZBOVGP3GxJqRNYtnuT4yYbYwlMXhgXB3ZHF/NtrDvRVUs/r7A
2IKiuhRth6OasvRBWt5nGVnUfBLoWrHR265tgtAeTLl3Ryd50ZOFB5lSBibKq58vp+x9A06xgxeG
WBESqWNOPZjGx2zGzatwQ3w7JN0cg3ks8f9NPPjl3kkBBPYRAx4synyxJrZuVOYDRZNusi1twtjM
35ElpuoYB+6U0dnnO3dZYxgMNCrS5X1X7LwgcthyRygIkUs8xaO0jHBc+YHrzXzhSbS/ddpnu25M
6aboQCXfImB1l1lC3pN/sfDuF3NOMccPQfJgzGZ5xYCRz4+X4nliAMN417aX6uD32fwSOX7/COKY
hvF0cad5CzisNzcm5RPfFGypDyehao75JwEPZjjcwUM4dP637SO1kXNLkkcymjVbLDYqWtps3KgI
MxlaBE8hdaoagIepZv2dGpQxNktbPuiFRWXTVBEuYtq5PHiN8IY4VA7DZB0VFDhMGvk0n4G0In23
xNi5B7DTEnVk+u461EexjVVtcV1ymi+3ObMxcXKZ5u9iU6YPTQ58tAb8uFs8Gw2s9DCDojd4Ow0s
IqyDzGYC0yotQHlJ45wXEamHaU5BtnuJDOAnjJhQ7GjmJMhGWbTbuBsp+6jNtmAEQnsq42ksMf3W
cGY+Ws+pn8yhLPdNKnK5U3kjLqZlSkZm6OtcJWbm+8IcEzLfWrz2lXuQLzatF3EqouiFIyI0eTrz
Ym3Vz0LZxaMm7P9plXF9ZD6EKqtS3tGKm3HNuLzL3jO6PQUe48a90XNOAtA2qgKUfyxMEiCg3dEL
g7njU/bxrY86clgcHBOfjVPX7V3n64ycWcljCBSTQmupDK45vdOJW7IhrXmBax1xce4c8ehVDNu0
UXzhG5k8oIw+se3OpJhgM5Y4zI+ujM2z7DSYfSwBBOAHkKqkKHxxxgzBAxfx5p+GzO1ue2qqMGfk
DrMRx+WaN04NnilsjCftx24TGnX2KT1CGhDzU/OCW7J7J7MKMwM8GI1PvsT6fz0l+dOKvtsOXL52
tY0xmUYU7BmURFpYgTfakjc9L8BNakQ+xdNDE3oFvrOa2NmW6oYej7M35DsFL2VtVSZ3oMiOABkR
+9zu0kNFAOEOU1AJEaCrt4PJqZHp2txFfJnZKS7rykx3Brj1DYNHDhdTJm+IK1E6UhdH0KrkTThf
xn2ubyvZiWdRlSsaELPItuz6F3AStGKnlrwfsVvucEIQUa6mGy8xJjg8rpLH2pmCE0WyjD91Y8VE
bo1AQENu0wtym0yBu9QHC9QVqxm4Ds4LCWMnrKOA1CqL95ffe4fWF/13Myf5bTxSzTWMZPxqY/TP
Hn7/nxZR/0+fDTT0+IBUV9T8EUdR29nga3Z3/Iu5cbswvPCop2soqBwR0B+RhwUzhMhv6IydzcfV
XkePR6U2qNDNEYDE+NR4bf4WKbFgPRQzGCvlVf2bnXMN4gCQjhZtKuTbD12WaxRxh9KbIXVifAsM
zj4Nc+guZzPhZDkmARtYNpn0+JjNnOt9MXKazBkG3EEA9+nb8ZETlauZTIMnwwWvaNxlNmFyUtjm
657Z+EANSV/4LFS+tjVJCVv2Z2gKLDsD39rrIHGKbSdFkHY7TQYPxQhTxQVuwjUBNduuCIPWxLtC
jNB0AMMrk28Dhuivxk2taOtYQT5vfSDIp2AMpuBYthTWhuTJOUSDxpRffky9YIqSc9HrXl+TEFmI
G4mEg6kyM2KOpTPQXB6jfCML1MdB2fa9MwiG+rEvWBIjn8pixqrxHDZNDyQhLb3ZxW8IyizMimq0
sJpY4lJ1TXMks8LpafATxpa1MQ0fYI784fA/Y8Nf/uz/1FntrKrlv9BHvzpGhn+KO1JZxV/5LY56
hBohlwcm9kps+yb64++4o/OD9RgrMyhB6zek/q/iKCNGwe0lcEgfrcNC0pe/447+D3C4AnHUtPi3
POvfJBBKuIp/kkcxbTPIZJ6JEovWhz/7TyJloLCQ5bkJjT0aECprzmSqBg0UYv1Sl1WGfkXe3LqQ
ZFWOorSHE5HEvAj9MmjIURvDi6M5SW4qcvc/ZcPGwINe1aciMiWVf37uMw1D0NoDCvFvRDJI/zRK
qdPLzm3rD2dx1UVfoe+dlZDIC6pOFYMuSp1xooIpyHcDKyFh9rShkyrjBkdrYBF/AohzS+LbTFu3
vp11ejPACWs38zhN1YVGXXvCgpflOzjh2AYXEV0sfdspSHFCvrSLtnAPWP5jnxj6Bu4agK1xlfjo
4onPo+nLtb416dcEmArOlpkv132lq2lD0zHEIVpwnfFscYIUhKWijozOnFgPouIStc/zIC1gE2Ij
2eSxiUSrXWZOWyD/U3STeLDKd26y4OSCrQgYpAeGpG8wa3j9pSWdgZI2fIsFbTk5wGNuJBPGYo4R
IkyzsiEMiBEO81fK2CWdu0v6boQLDxGUWSjt9Ybt0KTD0Qv6FjgVK032nLYYtFLaw46kCXTA4NNN
/pFDLGiImKmi3s59zhdwIIf8FJw5b3IjYoxbec4jV4nxOEdkvLjKB7eWXlHSaZB1067vRf1k2Tam
dazMU3SQcZefm26iwJp03PRM96l3h0onP1jWiD0pYthALNXER+PHPswTnclih/PIemlVql44GDjA
w4At+ziWS8Iyjue1F/hmqwdqXlpwtX6LH6vhhK5PzjQkMxx0OkpoGWXhdH8tovQO2fcAkeuju66x
/a/ldlxXXnYWFuE2WbVjEnH6GnBawimK9Tpm4vbl/FrEo8XlhIRGw+LeR0twckYjm7ftr+UfzpnJ
n2NPaH9tD6UUdh7qJSgn6EjrFqJ/bSfzr61l/rXNqF9bjlp3n/bXRsRFrj/3/jLlaFPrVtX+2rZE
06lv+WszY0eqIlq8100OwDGkP2vd+6Jf26Cwq+iuXPdG69c2ieTGO6h/bZ/MONhKY4tdde3o+lS/
tlpELDzIkau6LQoimsiGybifb3ijy4cgSP1tz+0DaA7lshZXHY6H2XODZ6nwFNFP1WkPvrcMmgth
IRso/AXFDIf0KHqRPVeWFvStz8vOS53lMg76giszG387WVEbprn2iEsE1WDemV1aP3caQs6Io8d0
R02xrA3SBhtiWT2sPVRD0c/jgXl1v8BL40lp88y9EspP2cH9Smi+AFS/jaDgrfmD4f9yaY3wpUIm
DKU6G1aUz8/kzGEBt/M8Ctj/8yTz/ajoo+faRzPZyv/N0z8io03utarkH3mhMQlzMG+TkwZtstyk
VA7RR8Uro/aB2wD+4tQ6ce0DTGf7JwmQaaFonFPllWEY2fMwDx6asz24nFAm7gqQMRJLQUYeZpb5
TdQnqPFgQGEXERt/xyhwUfV+RjaYWCWaxQZR3ObirICQuC4/7eZ/uU0wC9UoCHzl1Nz21jgczIYS
gP/Z3P8rmzsRQFtYcP0sW/IffLz/chR6+f75nid/v9X/X/+B3zkqUMEWu4/EtP0rMcXO+nvjt364
DEQZDzIbhX+AFej3vm97P4QHvPU3ktj3/uYSsi3CV0SLTYHcwSLu/FsuId9dXUB/G4saf8Uc8M/8
ab93iqFmtx+SY6E9SP988/T9NgwcIDCV7WpvQdn0jMo/KJv2ajGAQsG9gpt3pDTiGsEXMymt32y+
3lR0zyBg1XUf+DOo8nIlvKUQPPcdgAF0Gd0G8Fey/s7LhTOFXsY1kbveUiNzNXGMB70BtbTrIeHU
G4K8RP1GiCzNaaxr5wroon0uJlO/j5Qk/NEkudvvOidrDnVZAXJdqAagoHjspeDmLOUbFgzUaLsO
JtjBBHmotSqKsT0BwgEMhH/AyahfNykbz3yZ3mHUceMwW7r20UXZfcCnOIH2UtTAT3MnX605B4w5
mZBeptEiVYx8X1AfPbeJRFpOxGubzTkBFtugijLIB+9+qtIR1SKzx4/MNSa07dI5g5iN7zFzV7vW
T60Hy83UCxVn7i1eqvIe/qc8QAUNjtidl8MoJtJVhvSiy5Gh9ha9pd3ZMR5uizSGzxrWlYrVXSUf
Adms5GiAjQjo/pYjdKtcLxeNIZGNKC2hhzNevlKCsjhR46Z9XazcuQlWVuwu6bOIiKaTxU9g2/B4
KVUOt0kT4LHKsklvyBoxRlAxC3FepLSjZfhQngjsGc8tLjLyZtoTT/QoJyyIsp3zXWoU1DrKxPoj
M3V76BafrlRryGEbi7i/hQIH17puqtLblQ0WSEzcw2UGsgKF0+6qo0fIoj85ZUvVdE6b+FvpAH+C
Nqn6r5h250fQxBr2OywdRE5GmyFN3f5V3XQS1aWuigKFwLEOeZv1wY1LIUu7GyiInkKMzHShzkZR
p1dgpiYWf1L4zi4bK8PekxvyvioyKvRRF60bhZhNmmUHXbsw4QaD8CNz1jVvDG6Sn8JqSLmsst5N
6U7uSL6gnMH8QrPUR5ceE4rlmJqoMHUgHGzY8fk+bb4QPa/unNy7SN0dn76Mf5a9HX3DovLmc1dY
0VceyeHoZ60yP5piRCfC8G+OB7uMFh6pyR3qPQ77pL7FuGVeqiBZx6TkA06EG/oPRU8IhXKNqrYC
+foDZGlvXJpGWue7UangzamXJbvFlMrJ1pki95TpuXxqh9j5nN0lfZ1ox/A3XQCmbQtDqghN8JT7
TBi5EzogxE5N4qHIJYRyqUo1SHpuLWQ5xLY6J5IzgvuGDi7mZpMss/8VjJ20trCIzZ3vFQzpx2nw
7oSKeo7/Yz9uCg6BD0YR9H8g+/QvlCeIa2dalr2r+qFmsDVJf9N0wXi3moxfdOciX7kaECfkg/1Y
eELuJj+DEZiO0bgrrYAOAaATzs5qqoLPArLAeirFXj/DrYIyl0MKAhsGJYJyiRqHYzxZlNzZCznC
CjmQJAzN6QmWb3qMPbkjMDiixBYTmnymvCDkXk1SJy/mezb/hKJaSBQRuKl5OrSx4bIzF+LkcVar
KG9Q5msX5MvnYPSxJF0gyOaVg3GlKMq6Ckjo0S5bO969Lpv0YQRXjVY7SvMktFyODoza+9TX400f
W3JYh+1QmWsF2RiL2W6k1WYPJzt6HBRLDg218bJHXIEP4AYNUtUguFwsCCZvVarrG25xLjwZwhhZ
ME0nFXXLp5rt2g9nVFbzkOe17aEozPzuETQTmxsE2ndDKfUr0wtLAx40MUy4E+BQ1vDhid8OlxIx
x+aNXeo+BJzRzmfDnTQoR/B+xFr9rN5GqUFfn4BTAj6UY+cfBZbTR2QnHsJWqID5sm6zNxMW00+3
1TrYtG3HPNZSDsFcRzKaD+s8yyvAEd2SHqxGNM9AIrL8HrA4rLGBYcCtHwvnP7g7kyXJkezK/gqF
a6IEUCimRW8MNpvPY7hvIO7hGZgHxajA1/eBFclmtTRbpBdcNDclWZkZkR7uMMXTd+89V23Zipri
kmToaVtMZ9Y6i/ZrrXXDnfAoignSc2vOnX3fqKa9JUOGajWxOc23FGkEd63yim+dxMmfBDzKtunM
9AXQAMyCgFIwJA/kqUOmogy0ZlzDhUeRarBweulRVuZA0XOt9Bm9ij5ie46K8zCN7hI6DNRQ9+u+
vqMTa+y2VtyR3vOJzk8NgOatMRv5YSwT82SBsaAyYygkBWKWo/fKtrMbNB1AeKKGj8NlIDmM+r4d
NBXMSd3VzaYlwXozZw3qfllWzsaEho9r1i2zb9Zy1c4s7MukU/BdWTHwq2q+wsem9rp3u/Cnc28w
cRCP7rk2djnZ0w2qbbqNacA987Fx6nd8Ldy3uJWy7PMPfVcsLhDy4oOtcXDpV7E9y1UgN0kVFOfE
nqj7trJW5fgvI4ct7EIBGX8C49Ba5BX1o7DqYOOb4/JT8DbgRZ32L0VV+Jd4qTVl0ZEfYvzsn6po
GOEWFunBjnv7bAcUkLeTu10GBDP4GFib+657tbVjH6Ete3x0C+z1FETJv+jtjMawxin7MFiWvWe6
H+ib9fzmbEV9uSN1NhyjwFrQiAnx0mWVZvpmsVVP02nN4nWM8tvC4SDfZVNFiR1lJBBz6DI3iDW5
cIrCBJ36gKzC7X5JVX5aUjy/IpMFXXWQqn3k8MsSpPIyJINPBV8zdL8CnrNtB93stztHomLZINW9
LAugt6VJwLrvK4v8LQB8/DviJ+CBgRTFclplAVeLYkklIncsj6bTN69mZaaHaeDHX1Ol9YsEJubT
SeQL60IXj5cFZ/2uygNuvWmPTaeFnxa6bd989jgnwqVX/YsSXfdbx1bz4GIJh6yU0TMO1zu+65zO
29mE0w8sL1Kia8RDemYu4X2Wi01Tbz0U+tWVKXI8xs34ryhRyX0ZGZSuDw0kZ6QcQn4TF3VeoBhK
P6jx8XbeSAmtIVeBTJlR/OEh9MCuTUf9aSC1fOaDRP3N+ky/NUHmHhK/8e4D07XPgZ4w6qGbPUDJ
mb+5fgGEXbCVMJ6lVIJvxtbvX8h34G3Kugm8kA1cg0WpM8+Pftz6e1ao09siXXePva38okGSUYMI
PbTJvoumfhO1PeAKoez4wI9qurGgWXA6pFH7mLa2q1ZzCVfkfik4qQR0rGLXEAoGs5sZQ30YeoLg
p4aNeYy5R7vFvrAS665rGvkuvGnktg72a96nmBqs1QYR40kQrX9JY29BcpO6ozIHX3USooCQqRlY
2sP2nqf2YwJOlW3bNDGRp5ciuk1dvFzsO9zkxBMSLGFNOPQrxlOFIuL41lMOtpoqSJ8gFljvjA45
XRZvUibqqVFFB1CP+9BTNstgy+WZoKgwvUvaOf69tYKK0iuziKcAfhHvXZKinhiIueQr4ghGPEa2
FN4ZWwdQzdUuvhKRrCsdifgBpKRpdOTRu/KT8itLqbhylYja9+OtuPKW+ClArNRB7R1cq/efikJQ
I7dcGU0gZOSfDOsNnYr43V+pNJi/0hXs5F8ZT/WV9wRDAPYTwGQ4UGpQuqFXJIMc1PUJNdsgo0Rc
p0/9ipGar0QpZkyWTtJP0QuBTQ1+1RHXaTmiuIu7e2j0PDhyRVQFCYogJV85PrQrwmqFWZlXrhVT
Ly6f9sq70s3KvoriwvhTDOXCjDa0p+BKyVrwku9x6wEdxv8KlmsFavFkI8+rFbNFA14jHjLKuHbR
SEiD/6dxJxTNHFZXThfrIJhdPFXA9leQFxFRebJz4F75lfNF1nJlfl35X+2VBeZduWCQd/iarBUX
1lzJYSqIij81APSn1qbokVEnh4YT0axiZMayZcXDD7kFRtbbYMncyIZQFplMgJuZteM2rkCYDYvJ
s3jlmjkr4ixZYWdr3ygD/opAM3oLGNqVixZdGWnWiksbr+Q0PyHAG195athOYKthmo/OlAW3v+cr
e22RVgyTdYUu21BqLv5KYm761amjVz6zaXRDOCov27NKoeWuFWrnXsnOlPQtJ5kl2cYwAT8HKF6b
YYVB80XLs7SFSasjqOiAWPo+v/Kjnb5Aa58ilJ9gVAW+njjd6iwfnnBZGh07sZVLHV0R1SusGnBF
sbMgIYEE8gPnYpZgrZngop2AdM2cGhxwdkK2XjHYMgjiT9GW/fd8pWQbqRVt4xWdHXe194h7Dp42
t4PsPK2Q7QVKGBYrwNtaYwNIeuuD2Evy6KTguUehYYNFrkNthwLfLZsivhACzPm+A/f2kyKAh7Yi
v+vcZIHaLhiI4GS764SOmw+kFqRwSipw+fVxxjS7osRZuQXHlLF0l19J4xOVbzxENpfjdoTOJa5U
8theilN9ZZWbK7a8pnZhzwjnPlCcKZ/lcmWcd8ZD3cE9n1zg6ps4g4aOgw/THyevOLkrLd1buenA
3KKPxBULR1s0AB4I4pTF97Bi14vKLO9YWiZnO0rcB8I064rW9+d0Y7smpPiV4J6sLHcA/ppFWpVl
922h4nnrmKUBMQ8CPDvgGU7FyoWfRZG+ovCODwE+1N98dq0H60qSX5nybZCBl3fFjK5vTNJ6Fz0M
+sLKs5Oj3OzWM02MruZKqy979PR0+DvCHpp9UQ1rYyWE+8hXJA5X6r1o3GYbFVJfjJWJn3v8JuQ+
gWXzHa/dnUNS/r3lVQc4aVLFnkYQfk+TZEokCv+lTwaDzPTQCAAEyeTuWXU2YWILfVvjrQbuwuSC
B9FLqhertAhhyDF7qKX443EZ5K2MMaFDyzT6m1lqWmZ4fe7GHDccCDk5vQH+TSBML6r2sQ3V/U8u
9Rz+C5fzAlexXRzt2WGiKVqtt6ab1WRI58S5X3ilDGD9Mzwg/yWrxv+fgoUE7f6va8Pbr59k/vqn
/1NX2d9/6b8uDMXfWNNJJELEOPQg/x9iFCwq16zEmq74DwtDYoVXTZFNIvCna3bw34RCyEv0OUFe
og7UdnwbvO6/8ace/r4IBF31n6YZqLVeN4P/a2NIDGFdWXI2k6Xw6O5ZIU//Mc6QWoCuF4bLvaYd
SW7NFvuo1bXJPctv8436QevdV7EPVZqX302Kc9A6swvsTz7D9XMlRXrfKtDuVH/M8sdJ8+BlqfoA
LHTNHfcGS8GQvMWkm2boq7X/BvkID3QjxFYbtollvHhS+IVePQfIGp+b8b6pzDd8XNrA+jK9pE5T
vsRLVf0Mjmfft2aZkeojC+0uS3Jq43J4KHNdQMPxHGpvuqIvm1AlxoJxdu6Ju88dCknP+tM3LSgN
GNrmx2CIgAJlqVvUqH3qqdJuuTyNQcfp5yZL+dwAZBu3WdqOz6VV00q6yAlHd4DFDoVLimQ8iZgl
5MYeo+bHMPyBALSqyA7YJWrDDff3IDiPkfA84gZStI/znDc/Eg5KeogDnY9vhhUHP1yj9Pdi0VFy
FG2gaDTyUJ3ibDLcfRoEWIENWCvlveN71XReDGf801P1W2OfKdVnwVv3pXZBkNht5D8KiZlgyjIg
CrYN489IGvNAZbf7DfRMjiebOzNHcNSqmFCga0LM1A39WWNb760sBpOCDMUCA3HiRXZ1+sGVNf4Z
lNH+1mbn3ZVeyqjf+aqnPW2KZQjcaLp4bAMPhMVp5iCtXh74rkjiJg4tpEWnRu7+abMcnTEHrWj1
8Y0Nlyv/XHg4nkikGmg/3HjAIaFa8eaESb5gk9800YxZxGTWD5sB9il9PRzSNgKXI3MhDlk1kYFp
svhGVvnvoeRp0ZXKafopa8IWaZw9+x2BRErecJ0V/Lnx4rohY5EFI0Hq+stcGQYdWIg/cVH673SI
8ZBbJiz0z6TBVIuvfwwZob5tq4YXG4/GMdNOvIVvkx7MbOmTbV8G6cXty6eVo0fQpE1uHGd2Hj3P
CT7atkhvY4x+7q6Yl+Sges/HIkKjNuR/g6Am11BwusKhKshlFRuHnhQ0WA6E4nPm3UKzhEuKrDl3
lW0cPH/Biz+DiyQLOaZbRuMn2iDMXVpbUh1k1osNouIL/Jrxo5UeOPEGK1TI1O0k4TjCS9uD8/VZ
N0Tl8kXp+pC8A/NJ0jDVCdxxbK0Z+R301+lkgirGsTcsNPrVpZlWJ0v4zBzghpNf3ZSyO6OemtUl
C6ZR36gZXOQ2yScg75BH7GQPV1moEBHeuu8A33u48lm9gyiiywWF2DOiQ1QO8l3adFbcObJL2j0l
3cmwZ0a3nK2k+3AOc3eynf0069ncZpof9IbqQCBYDJNxpe+k8uLhllIfOm0sRm9q5wP+rafEn0C9
zF5kTe89T5e/Mdny6H0UG9TWpRMWo7CaWQFuGgipR7pd+xczK5wTUbdYPeddPfvsvfsg+2sa5+Zm
ZG7kg41YSM3wYhVv3NcGEUKQyv8qpj5ocVlEbbNZTYtM1Y5HQ69lLpipOt9A8KeLG35nuRR/mFJU
WLr2FO9gN+fdiScTj2WT4ue3yHU/Ygmt7qrKcX5cQ1fiCG87SM+DdNpvwq4t9cIJOQaMXazpiE+l
HBJavFautF6VhL+KwdKSe+4TWPrMRsXhetFGd8TNGy5W4LB4cIiNgoSjBX7DAQkmZMgGVYf8Ecst
iDOyt3liE8sodA6eKava6WPkinc7Er55rz3S0lxEpxk/vACS1NokrLAr6R3nUGyAfg6mI7e+6XYM
VPAAKgPTiZ+BDssMVz86mh42mVTiCRwv/ImJoBfhLbYzpwjbNtMSytDJUnN66XuIDo6BjEPhlP1O
knTac/fBfV8FLm7KCbdlySuy3GnDpEknHgsyWUJnXFqNeMFytQwHcx6Cm6buDULgHeA7Gl5gTMuq
uTdYXnxhwtefRMzkW5dY+cmlEmBvtmP0xNsy9Q/K8rqX2sr0t8LZ9kNMbHqZ2nLaj071HHAs0UCj
vAB211g/ZziqIWGRUjsruhrNA06g+Egrk70tiYIcKFMnZuzIfrRDB6k62fvFuLSbrnA/YuopyDMT
xLjk7uz/CQhjbaq0lvTDBOa6QSo/Pa8kBlbj+ZlImAz2rhgLH4pXUR+RgmoueoT0HHoRiRHWPTPl
TB6XwzXG4AYr5maIMjsJRcVW6GYubXgWXbvUr6qYCo9gVrnm3sZGnho5jJeclviexnZojaBO+/TT
YV3/OLJdvs1UHtxXLQRwLK/+b17N7Q3dhd0HdBvslUSXm3Oj8/hSwlHiawGq++TYun0qUwo+MSeO
wT1fC0LQRIdObnXYTQc6Ep+Eh0iPnNJQe+x6+87L/nJ9UcBRWgCqRWTB7/jpVR8mSxTQRz39Ym3P
HUmg/6V180PWbHlI8HLfMbkAGwiqkngBTicVGGlyIpSPn8kaWu5H9cjnzdP21oJE9mg2q82iHIL5
0RqMpXmmeMw4C1m3n8KqeMBiOayV9LUq/S3dEeNEhKPrv101SkJgzfioaR6yT4DH81/1FMfx/Sx7
bMZmJqvvmnbo35HNmmTT6RpLUUf9OMZxbKTZfoxH7zmQM2592ym8c4MCltC8XPO/TOyoTPxuHGam
4XkjrtcU2gIN0rSRRb3zKDMqOpyp42Tmh2sBi+6qftcTv6HqK0HLbRjM0GQdDeV1mfo/Th1gSAD+
wBvMToY/ztSPJzq4mpuJGPjZwXjxmNf1uBCSQg/dOsWYvRbceg6JKrtLmkTmwXQjWpZaWohYRaRU
i1uUmMCM7HjZ4LMdu9DLR77CMeEfrqUywbHNyo5YxWwvXyqoMrlT2mbrMxvR777THrm1bqQWK/Yl
FDkS8HhdWS23F37w7KgFv7wKVUlz5QYvVXWvqH1/YjBNtiDqBCSu1I9JHA4F0ia/Z3wQQVZ/BnDS
+LzZ1bTHspNaeKYgLPaOaj6qunfjEJNV9UVo07lINJcvexi63Rix52HAM6JLXEMW2zQWvmePL2kH
WneZw4xmwPfej9VvYNcKoEJNN0CKugTnBYfdU1LPek1BVS91QK/fpm1rPNV+OqYrM6I7VfTq2jsh
4/qBU38m3+8Fy5Fhh52/yeb0lbb29dyZOCY7EdDFUgYWvWnsXnJU46wqQ1vP6tNPM141vhEs922p
HEm7qx6++r52dl6SdTWc3jy/t9lDSnYiJbF+ElZI56Cw9W3fWrhROsy7r/HSBy9sl3I/5CZARHlO
zCMkUiiX2tPylxk4Y/Kc6yF4UJL8IXqT7ZOjNXh9rPE60mO8mcFOzs45KWrgHyn36yOoKKMPYf5j
rIn5nh3NNBgPTt/LbuNYrfcIZtzwCI9O4tnlrQOSJB7ekqVPn+1Z+A+0GTO3JUSOHgvRO+PeDGgK
YiQxzJnJfnRhS46x+zy6QXqfjQu4QPo353vHVvlvfGP2E2IQ2q1rs+Bga+JwZR8d44cTj11T0bno
/X72F77vZsso5LziCautPbA098kcJpeWI9JUYZDYaYhkDLxumknUJW7tfeTwoR9KszW+a8rwns2Z
VfFFdH254n+8P+B30+aG2so6gkPqlD82dra3ZdLzsViK8eLhpAcy7yUmjAhvzKq9i8V33q5MiuSo
VOkeUWaMVzeei5GVZ9MdsGv0l5JdR+jNqUlM1IHDYM1DO4QVXoizmZdTEiL4z+8LGJZdnWQsGz1y
Zx62ylSzIKubGywioGaNOG13UxWDbo07xKly+KXNHoM/G9UtPFYoD5VQn1HNRppXE6WPCbaotG04
eWQsH1McYzuHajF6EWbwsyaHF9GF5E3klr+RLfkEnkJsbV3wp/bksXPt9qRhBWKT6Iu9NBJ98OmW
PERkvv+KyIXek3zn/JvpVtu0mtshtgm8IHRbkjyR6NF6dO/ioK4fdOUkJ5U13R73RnW0OpqpVOwN
v6e8bx49Y0ZkwiGBCq29+gXndbx38cYfoaTFn4wzHcGR5CmtOJq7gS90XjyM+exmNt5YR7SCUnra
BC3QtHjobshe8aamtxcZafrN7aE/WeBv4Phh7tiN1cTaRWFbQ0tCri+yxP/E62LF20q5/XniAQkN
Y24vraKWSKJ3ngNaV78wUPwsjcFsRUXk+jrlNtag+p/cuW3JbIoF7jb8lTFJuNWmKKG3QKaqHSUk
Ntgc9qDU6Yg9cEz3sS9h8YQK3NnFVfguTEooTrPRqGzrO6157yxYYehRdW/sOnrhsX90ZXwZ9QAy
dJKkAtmC+06xkAxjJdtZ6B/8OElL5TFcRLVkyW1i9FUeZvNQvBFBJLcYo11w+0TqhWfz6rJW+0qb
XD+g6oKlM7ET3c6L6x1dAf2tjmBOH0zdSY43/PIfrjDv86Zr73M8lYeo64+DZbdMgAOrfkTNgY6A
Ngpp63J+QUYfv5uluy1xcFy6IitXHh8ALdo94m9Cfib0eK2pEdD1noJfXCO9sVxGMnmrAXR4LhP+
27avHLgBYtgrmHuKR5T2o3IpxV1NBepL7zGb45KlBG8ojP6DTIRz7i0x7qpyYEs/2923XxEwLwJP
X5wgmp6jGNqJ6ffmfpI+bzdME3vbsNx3v1IIelR5xuN2bMfF3DGNPBQ8jWqHbIaYVQ9WuVOGwmJC
JXBFAF94NH5OlkrQ8CQ6fG/YKHklw9M2MZBKvYIQ/IsXa2j/lqgqbiY98nnP2+Snhf1is0ss9TFb
0upTxy3ricEWpNsB3DfxQ5k15luEe4nxG9sTKQjxKRLDvRdZYf0AbquJysmixHnLz+E0cLvZw63k
IgF/Ln3LlZ4cgtEUhj+TWKiqo46Vv2ti0jg7v1DLrzFpHLoV1XjSeFO4L2i7eiBnKNzjuiD5ih3D
YnO54KGUo3ZJ38qed1hf9caz1c3UZUwjrE09NM9J4fVfLHk5ADqrPAon/WyzOrnYEIqrXbG2Y5gT
exbudQUx9qh2XpQ397iZF1vcxhDuOtIabdbuRCcW70CzuG3sbRo0qF9d03lvWJGEeWh4a0KhiYp1
ZIxvAObu06nN+Eb0wQDdogMKscnGwPzTmHq484EXvpu69PBsz3ZEIq73sl9plbZnNjgVts9MEeMT
UD7OhpfZ5cu00pgxxY7uTQl2t7vUiQZ3uSQgo9LJmEJwT3zIbe+DHpcy2Cmubweb5ZzHiZSaVB1b
znLLpbP9hJC71PtpwnSUx/TecTUzXii18G8Md+lCRkiARgNYUT5yaXvHke/KixrK7B4HjPxdZIP/
zmaG2CLvIybpxjlUedHc4SdRv8H0AIjEbWffaJwVeytIip/MaIzoqOiZhbqetJAirIU4H2vxsnWY
+FgYEMMRtBy7zUTbMvyD6TbLsetyLRxi9hEFeV0quZqetF1XDdOmQTlwCImS3KIKcHWKI2Txce+y
ZAa5jX/GPnbcxDKad2e/OIzeaG7b3Om9UGJ9+mVHah2VYcjyzgG9+pKzDnSAjBTDfcX1hb9b0nEX
JiUP5ob3dO6eFbGfLwB/FPINSQxvhYwdEw6vqNkjc7fBdK7PU9CsFmGreXdLy/+1UEimAYMkqB9+
Yc+E6chWhhPx1r0/Q2DdpwUqIJN4sR+XhrhENA8d1zv66RX+sr4hgpr48adUc3Oo3MGFilr5kksX
DQ77nnD61kl9tAv2H8Y2E3Q9ubLABpMy8/zKOmowDpYLMS1Trv1QYig9FiWRIp5gu3iqDGp/KZci
FIuHTI3038VQZcFHIHNma2SuUyUfkpK22mY3QkBUh0iUdF5spj4qm1MWtNGAn8TKDqjIUuPdifQH
sQ1IlwQlu7dhJocKjFsTeJy8NVMuckRWwLUzC7SRDPHXUCTWCxxfgpGy913mBNhbF3hiGJ3IgmRf
ghgEe4tUG9YeHxH02XIEw3MOvGF5z6qBSxePJ5jNPNaeY22kqckkQ0s4lJVwzyxEvHRPU08F58Us
fuCYiFvcPPgxinyNbZWd17r36RD3OBbpZlWTOUJgnSPQHBPdGS4YYg/RCj6IRb6XR+Xcz9GCbtMi
tm2GMQ5eKDrjNq8Fx8/sWtk3UjzpjEEIJW44J5CwCGE2PKA5aOGTr1VbHWI/GLHclOOwbHGVeL9b
TPevBWoll7GUHlkg5az0YB57EOASl90jdwEj3+VDSwCaNKEdfyHqeSDzW3alJC38O1pn4WKg+dBH
6sHrKjZ4yTAP5ZS0mFun6gmYFZXFwoZGZ2Vux3Rs7rKyWJ2c5Gs/3CijthdDwAefpFbctKY5HOIm
7oabxhQ43iYDeuHWsLv4JwKRkey1GDKGvaiCLMFriXNFV7ooX/G2yvMS1At1J0Ov3HDiNSk3hhtM
B+kCGTFER5R5bMz5BmAqyRBukUYcNq1WhHSLush2gv6kR0KFeXOAn1IR5c2DbqvQPQd6MmV0O2n6
18K2z5adMjPiKhP+dw5UE0oZVjC+hg0Mjj3lQuZwM09OpcK1UXgJi7lhj5a2JsukznM5B5Yk8O+6
hYZoojt5yRUMTgeFaBlJJ98GCo5TLSaqZE4xy6K55guODd1Ft91QOdG+KK0/Y274T5DTLDaPGeAQ
adQ9clmSUY3gJEVDQU3RtNWu49iMN26vjEfE1sV/EynFP7E7plxgsl7xcrEgpHGtl+kfSVzik5on
nHlZKlLkOp9uCgZXBbHVS59yUDtHAL7JuAet7r01hCUvyzzGb1mZMEkTms8eClX8agw72tWp5+Wn
jJfILlr1ylj1VP8MOqq+EHSMnzpt5pcMqR25tIYnsQG908+Xgldhu9F+Ud5xh9T+kSQSu+x8DH4z
zLXfZuaXr4up8TfXEJFI3xrJmR6twA97iIRqg2PNRqV1ibsmhfzLMtSEMXG295qFwoWVjoTO6AwP
nTmLNQFe2zToeNNytHlwn3o1NU80+/IJyJDmt4mIxXOrOs7sngjjSw5VS18SNTT7hf1KvF8mb0zC
0ujYRFlN5y77SILNOfo8vnCN6tFmb5kmU3bHsgGnDV5R7FENVDD32GEUQ55Jel8S7RLWqZ+TZwov
wDrj8f4C5L+zDfowaJeGiKDw+PxGkIE+ESjxi5lMO7zbssR9zrmaAEvKicSmrRu/tJQTvjCLAl8x
gwT+sYkUZTC2KfWOWbb+A/mTWdRu2QOEfmeWf4mORo2Q2FqxrVzNsp/oE6BdoTFeAtIrmChbtzz8
lyiv/+0Id9LyBVrlf57gvP2iGIfWyr79hxjnv/66f09zBKYITBJO9Nj8gzgr/kaAEr6d5fgg5ggg
/nucQwjIrvwNYp7ChsTqouh2mECS//HPlvM3Yp8O6qwthGtb/v9TL45lOitM7h/UWelL6Vm2bfuu
CTbvf1NnBZca3QtD7+a+EePRRSOhtq7DO7wk8k+8TqxhX3qAQHWwLpP9KzjAujIEDM9IcWlnPN8V
Z/evEk9YcEdaChMDtijx21aIw0AjbBZcEmd6e6UZFFeyAdjuonl02jR9N6STxqw55FQ/KlEVHe+/
tIcDJEGebtrKjcRWFhN2y4ykgY+Pzs1B6YxwNGgBEViw/w4FYXgGjkZVR/yASdv6A0Ucs75G7A5V
PgQntTIfRJ4Y4m6gdAU1Ipmkw6fRUvn91DbTjXkFSTgrU8JClzgj7jj+tnUom7mLrhgKXt5m/uTn
4hcn9Wwd2BfxglGegLIzRWyNdJqkFEpoAic3cqTjK6yuYAwB36jdsr2UWajiDCaGb5TuHh8aXI1Z
0FgeTmOWZvekWkCjwQt7dVVn3ximPXOAdf5YHKmcnvJzqzEP0tsD5XuzSu7NZgbo3W30SgoRvZUT
/jYlyh+RTmxjPmPLihlhKVXfWK2fPOoVUNJBKnHafu3W0Hk9bBm/nR0v467nDomFPpBFiscF/Ek8
xu0DrYh+fXKKBm7KcmWoQKOQT/nMEHe7irMRhLFBBhtWxDZbyHkx9H6qXSaTiNbW5VbixDbOsQeO
JzSnRRrHFgjhe+sv03AYmjgabwlAzEHopCszxp+E81CRopnC1I+66gb3OAC4MSiA3NVjYx3hxkGj
6YD/BScTVbnB3FSCkSFbNYw7h9AtzkW/77c40EW9ixfBX6ONgMDpKFqK9nOejwXFyjiQ6EYJBOkW
r3Fpd4sbTb43MQr0WFA7zQrdKZMa3FHctj81viB95qmDwmhe8T1jS05266z+5KQ1Ia9iI4xZbng0
TZmGP5ZccFlpZ5lpfzeBRblrYg1s/RMWZJCvAsFPjJ6p+mxPPT3tadPmNz0S4GObeg8IN+5r16H3
01aojBNx0+TsT6RoWKeUDSuBzHoCGNJ9LsHsUg+R09UheMWiAfviOWpHHNpY+HrxkrYxsrNF25wK
B7OZn9PKXn7KpFxuR8dsJ2qx6sTCJR5jB9NUsE47US3NeKTlrrwNmO77o2bPpLZmNpYfrELUfZB5
cHXboIHaHplBXoeGY8sXQlMNQUtRYn71qbrrqRKpnBuu5omzbeKZyQacW2xdBpszAWJrKW/bhqXx
ls3djBaalelnH9RC77wZWcW1YgwXVsM1ZltjvsCJaUZvBobWw+KN4B91Xf3Q/D7Q6plQxhdJ/Y6U
XIaKV6Z3sFRbfiBt87lpqDi4hwdIWZMs60tlFuMLSQvqrwtqy6liDTRdKNJ+wOus8V4GdnbEAUUt
fGrBGc7MUZRHrmPy1Srz7tLNU/zp5IIs1dL3RfQImt4DEWND5zkEFEnt2fIl37ox2OWzwQNKt5gk
u3Blq5eUCPAJxoNMAQFXtbGBg8irPPLc4qdxkvZst0tgcw/1lzd4ltVvNdZjQIjF1vEh4Y0DRCqn
7dorJm5LYzzdJao2TpEU4KTGuC6m52bChRxiUoFzkQCA6KDflQoUi4ia8+g2xXDQs21xtaNcMdvm
NrN4uDDmmqFjqu59zGbvHm5EHQbARj+tOPKqV5+bJLFWzQdlgz+SoiWjdpwtFjj0utKY6STm0D84
7cTjmbwvqWF+90NBpEfUGUSqvN0HQ8LAinUWWaMswUxzeVhj5Kk6urJz+IwGdsCxT6/CmTBugNyh
B4LqliRjNUoVPdEBaL7EM5ciXHnMd7vKsdJpV9AK8EheyJMYHQSAC9KS0rjIRWRfLg0O4zFOMefe
SjtaQuzd2Noyyy53bKBMd7Ow8n6I0jx+ASZTFdsx1hadRHYa1FvLQaDYBE7FGpng4/QakNQnqJHi
Udx0fOfxBjfSfST4YwhuFBVw8ZRGombrzitpQzhJ85QqQc0YZwM8N9Al7uphYII44XtcWy9h6O0q
TjN6qbxUX/I+NY88zIsB0BD2K57WJg1H5oPuiN2yjfa9coJjVWTpj6sD9U7gun40xj4tN1qly29m
TkpxkZAE9zB2NfWW/0RfhuOQLSerknl+7BzG+02a0hyGc2ARcuP76zeBZmsuN3mZPXT5MjMgtLb9
xXy74uSqqnmZAT7d1mYzYfDJNZ4JmXO0BgOWMqoV4vJO0/FBciMZ3yYaKM/5TPp6bxoQa7PS9DGX
+0M33ubBMr+wyfQJU2RQmkg6t6o5anfw//ImOR9ZxVp30ZRwOYSNTcinXvCBbKqJ3MfWHz1/Y+Ev
ie7lnKGAyCFrgofZdyG9GJOX3Bp2G3zg5XceM2Fc1NVH4+GooccDRs7VZROthhubQ24bXU04Ket7
Vr7f2WrQSVerjri6djAf4eCJxeK/96utB9ZfhNaP1QdYI64fELT5ySRusOGMWQk2eIRAf2OSnYYs
3s5tmYWj5s5mqMo7W8ozxWFcHUfl6j2i+I9UAdGBNKQXNwEQttqUECxF6CkH8pwXLWdDLVG7MVdv
k7zanJLV8eSu3ie3TpajLs0B8ivi/yZpJqi8hFHKQxbXLARwCPaHPomni3E1V5nu1O+IIWG5wnLt
3Y2rDwuE1f9k7zy2Y0fSa/0qd2mOWogAAmZwJ+kNM5n0ZoJ16OC9x9PrQ6qkPird2+qed0+reUgm
gYjf7P1t/8vsreAtqMdH7SrXklfplj2ruMJZz5VepV2WPXetFWcRZCNjkt2epELrg90x0gSRJVI7
dEjFxKwZA3jh3JlyShespsRjAjrxHUtjnZ+NqOx+EEoiPvPtWYhmNQGitOAqUFNygis/4pVcI61D
wpab8fDhS3RtvYll9jmHaxlurVzkX6Uy9OqOtBYEcTJC8ngwr0K50BV8jL6Pf5UBMVo6g6kxSTRX
iZ13ldtplHPg5q4yvCwzuofyKs4LYw0Q2VWyl1/lewZCvq4u4vygmEezmnX78Q6PPjhHspFPcPDC
HfIC5IDBUJGifNUIXuWCthkgHZwnF6yySDS5hFMVEDFMwGoWaSGWot641fFYQD1t+nzdDFhBcQkm
awSBPnc5NchXNasY8YoGa1AScmUjf0QxjOJR0zLEjz2JsYgms8TKfo1XgSQHrftITpb51XalUSx8
s8puW2IQn9sBFGF0lVoa5AETuJjbyRJpNLJm3RTPFrXauW4Ufpak8xmzXvtKde0x9bndHMaiKJdG
XJifXJDJiiuLzhRssPHSePUvybwJhXmX0L/6Mi5+UC6VL+La3zIEptdVXkvBoYVj9lz6rf/YX/ti
x3ICNjy6ekDzPDfOpHDJVzZJ5dK9dtaNidDcnNttQd89UJP/EsNkLVt68mhuzjVpcPI3156dRTL9
u37t5eNrX58ixY7O4bXfd6+9v3adA8jrTICJQGpz5s2zAjJlmRuE8wihtkuDlIJ5sFBfZwzhPG4I
r5MHaXKVBygv76ux9u959qfd1EHhw+/CNb/Kpra9EEhoLt3aKI56UhsbOQ87QqYe5nX+UczotKBy
IrWvo3oMXgjADdiQScKWFmlRURFOhi5OhVG2F7MfmIZEuBsIwGOuHwwHPXXztaFjZsYeiw+qD8tN
WwPIZLJiV+7CCJQiN9Jt7nvNm7Y+S7TXgs92zyy6ipfkLcY5sn5XI1kzNcNwrVsBElHQJdob2J1W
OzCxByfdGqn91BsdQAsUFoLMnKqDwZs4NnNeLtqzb87NGQ7BGFM+wQ4P4UhM+CZnEMmfUE1vBK/1
75KfwlpFaOTE0uHzLlamwQbaNKrhHSM/NM5QYDdHtq8/UuBywkYTriB20cHBM/LhO/XKcWONdrKv
BFS2Xefi+adpcLwDm1tc5HlBCrugnVlRZDDfDCaXofMUo8RiIgv2VmamKZcgudZpUgLGcvmLNfCu
jTha8zKLkjlv3H3w+lo3dZw0WJOxtISUHZm/89iaFiuCMDa9TkDkAgJjeit1iqG1h+lDHGo38KwN
HbFurBCKRXRVtDfWkiZ32rpoS99VwwWGj66lf2UMa84IXYgrNEquNT5VOPdMXDEGK4mQdKOvrqzU
vgswBqdDBm8lUKR1FBzzkzTwvBGMzVkTNwi0MlxnqXJ8JC1sA7Ml0j8EUShC63dTK71b30YmZokq
QGDooO3yMU+Q4BYl1t1UNXl9KHMJ3Kx2PQuPuJ9Za6alDMbb3odh1yG/k0s0SMOtUzg4SPwmdL9C
kncfGP8+BbOaGIaBBXUzQ96XFpO9AdCHTi3WncPI8hfdC/FvBTPpC34+fYUF36rY9auEzNWwre8r
rxcMvFp7ViuE9WfUMOfeuHi0q53dZLOAMGi+imbqbiHKs1pMMZ8xTM199jISFecvs+n1VcLfAQuo
ieIaxQeVfWjdQPO27thYEokVeP0JCdLRt10gk4nK0TKUKaG5pvVZszu4xJZv47DLoLEHdEmy1HFs
JlS8nWW8oAr/4nEDIXt16lvhV9KF6b72jHSVhA6fd0SFDOv+bKZacUhVzQ/U5cXF4RrehE3lv1NT
pCxdwtF6MONfulSE1PMcUehnmDxGdvHkVal9nOnFg4ebaVs5kDQ5OFd5XhtbEWb2F7tksfP0CmNX
Ee8m4lMYIbdxtCpIIN1EaWU8VEKMSJwcHau8mR0hv/W/2qqAROfFgCjdZtSHXRLnFoEmSMQ/J+zV
PZEBooQarZxDE5cUXVgno2TZEen5S8WWM64nq1Q3I5iPXT5Q08eg/7aY5/odkmra/a6IL71jjGdy
MdXs8UwIVwH6j3m3b6bvMaqRQ8RUkMg9UudxVJZ1M0qMdladmfTEoAFgTOkrSSX/nWhDta2A68yX
yWvpgvUn6Eq1p9riECWlJo+WBdgTb5vmrr8Dir6FLRBvsyYYyNArGH6Q+dI8Ue6WDCjGulgO154D
8uqqxIv14xiBCxcUeSD80OlNoAO/z3LCExYM6utlieadobneimWoOC6Z3GxVnux76RfbIBHWbRub
gl9ocLSlVHlGsaOlrOtb8IK+3SjEvfSnrW2Wr32lI2YfURnrylb3iWs2uxKN512CxgXaRZAScYnC
r0wMnSiTtFixDazOwAjFmqm/3KCzE2jeeyLKUMBT0ahLUM7KIzsMD+xjAGKM7c4Y7DP4zX6JfNk8
jkqKjZLuBDDSIL0UsRM9cheiIfO1dcdlvLFcPVxCnk9vOKiiNa+M88L6ZqZBVWW5JBiQ7bPwH6Hc
o7EK9W54xMtVb/o6Z3dYuq26RXHtgImOrPHUJ+TFcOISKGtkyWZs/PIwTX4hj4OIigZTaA6cN6jf
NGRbj8oqG5T15VQ/TZ1LtefHBomFkb5FA6PzV50Im7P4+1eZ36xtNBr+Ac1Astb7oF91SqmChKbY
/hiy5Bc46nA55IJ5QTOl34ilvC3nQ34Pt40tU+hp58RAXmB66LYjLlbEEhnSjaDItzOVY4kmHoFd
Yp8L5aUCJ1YHtcZljzInWqvwSK5Btrf1yvnWG+OieZTdNdo/CjJvvFjmCFoCatNSIO/EYtwxP9Ly
bTBEzd4aJmZTYz5Zz5ZM1ZuKmffXATeJ34ZHu2yIrKTfgBZKYQtIW40fU5gYT1Dx9Z++ajX6AVdd
kIluI6KYmnOhwbk8BR0AOv4tYvim5LNUQtZrlnHDjtJ7JHczSi9xreQOcna5rliEj3d67EGJHgky
cRrhLcaxDqik0PHIvafbbO3iiIBvGOB9e6cbKXpoBQsPcsu/1gr/CDtK6NdYuP/F+UW0Z1v9Toz6
25f9x2LBNf+wTSbBBgJpoEwM8f8TE0XOHOsBri7OVzkbxf7GiZJsD1zdRkZuCmko4hb/a7EgjT8c
XJGKfxGLlgvR8Z+xfclrPM5vewXolJwpwpbKVWpecfyFD4muMis0PXZ3URWmOzSfHJ0hPVkDNLlo
aOGWyh9Y1EXZlqwMcgyCaXhKa0Q7NOMvlU+UsFaiwvW9dDjasAPv6868E8xUSGHlBRe9SfjakAM4
Tms6pKDynk3ppKcm1vZ15bmETjrtMYnre40bjSpyCD6UFgNtQRG5lF1yIXMBpzaiL+6j2hpJfS5b
c6PZIWdloXCkIkpwlsRYIbPsRxIOInNAsVyO+pJpMAwB3QNLDKhwp2UQu3ZuTc2Llzt4DYviO560
zIaHMasphjB6R5v+0btS3zFcPEcZs/s4QJ7RO0RtQmCsV2TC/OgaCWNmm5XnQfXWota89D5CU3Zy
Y7XDaZAsrkrbKlRQKaoefE4ZEksbhK/dEAHUaHDoL7SMKI667iljyUXXRRU9R/as8QU2sqlkKthw
S2RkPUa2e72PvnpVm0Qaed7SCMartQQyCwvHd0D5CLdqL+u2o8z9JXZC/6HDNdEYvfbQtXZyRx6d
tkXg7WWrwvT0O9UDy6Cq7YNkTtjo9KWo5n8T0B+Di7iKjUWcBHq2CxvOIk8OyFYwljQcMqRAtBp6
h11SBL62h8+fHNE8NdHGg0AVLsEcxNA4Iw/oNEg8Fx1e3c6RwV61r0urDpi3ht2hRIEtF8j0S4v7
YWQATV4CbK6oLhIC11JT/7Ro6J5pfzLkAHMm4cK0S6ZfXZo2RLppwCpB8sXMZUoTBD84VYUwuJ9c
xkJMSl6b2qpOTHsRwQgilUNsZ555G/hZKlZNr4lFNWvzGePTVLhZd6tMoxZ3Y9xgDnIZnaJDNO0E
0rhJUt/CrUTf30fsxoIdcuG2ZN6JLW2ZOIinoCuW8qxpffbD5C89Qgnw/XWDWqHYduyH+JszSz80
dVy6i15UijlQ797Vnb+n6qYmVj3JbwoaKhJc6DEYIgE1+2vTODu6+ZrU9mWYK1sy5uWyDqtd0DDj
RNl5AioG9MXI7zuj+/AK8wHa4XpkmnOm4t+pND6lfVsSW+6tjDjH1HiyUuTvIFmJf2Sl3eAlWJqy
V5jYxnTv67FxQWuqffM4r3IH+HinX2QTaqtscO50vSw2eU9mJEfUhqVeseJX/TGmu7TpVjVKQGJs
itdUk9Fdrev7wgpCnBIVYtnARv9UR9Yqj7UvM0ziBxeB2cLSaqhi46rmgluUfeXzMDj+LlG4soh2
eYS1T6xfzPq/T2DC4PRipWilTDBH5rsizevlOCGwpLHSfpkmNgHyjIcsD9aTgQSkK/DeZA6E2TI3
VraJyhaxHGQNT2T5SQ8j690d/QeZpOGK2W677ZED8spEG9SQzkoYqDJbptSfkznV64qIIGLqwbjK
aAAqD5wrS7x9p+wHjr6TH5GIYZSjPMShs2lY1MHwR+o8kt0B9mybFk6LiEb/YrXKHtAav4Fy3RI6
kS87uCUboKiPxMmI775x4g8Giz+/7b3/dP3+HyDsF+wfTf1//00Srfb7GtlBhWoJxhVCoiF0bNv+
S3hoVgwAG0Lh7jS/0AlIR2SN/S0TK38o1G1AixEuCQlUxVrhPD9hjQxf/WhW8w8dXK9FavUB52Rj
8dZZ4MkvkaTDXftDXKGSo7k3oMnHqL7DDkZnXmXis4OVZCJO61k92sWcA5+kU2XhYWgruRiKqjvE
Ag/iNvAtrWJYoDgsssI7dmPUdRt1PU2068lSXk+Zej5wBgSVDNtBb8od72W3Cqo5trvVSf9ygji6
byJttBdJqdt7imOOqd7yP1mm5AvZ+JsisNqbxKM2dnVj085tIhS3G53J3lHp2VGSrnE0WK+sIwn3
NZb0dCmIfRR8ABW71rifUhYOyPPqGwvs6rZkIQ5WqCHCLA/r1czKNbJMHua46G/h5NkTNoV8XRpB
wrOKPi/b1jErxm2ESrldWgjut6BoeVssPaImd/GK50sTmmHMfIae/IgXAOhOhAwX059cD67F1rLU
0hVAiuw5KN3pgiHHxEiNCCqvoiOiO/PSmtmE0ZIhwRuHAqCq0gbBlvc5c8k5h4XFX3TbFa3z5QM2
XROTcwc6Xh4svJ5kd6WRODFoJF/IDYG9N1WDWYFR6RTepI60jgSksHYCPrtlGGeije+0rSD0Fb+f
9Jgx+f4njHve1oER3fuoOL0gQMpbQLX6XdhZRLsI8WFCk96hDU/XNThEMDppdUkCtm2hktskzUcW
g+Kg92iZ7FbrjrhuiN0cqnLdB3W1ZA0dVgg6y2a8KRr1SoTVsOaTe4HjBYY9Dsky991xrbHjQJ4r
HlO3yZcx+11c2LSESbF1B+MLrUS/sUrtk+VDhkMMLW4RNAfDJlBARDdQ+Y516r14PkRqDGq4vz5C
QTOVu2e9I3RibGFDD1PLpnYQ57g0vkl/dU9xyyhe0IxsnEFzdrlofimnrg+BI7plbcXB1+i6PTs+
pyasWo77ulYTzM7QWaQpSLKuqz8pFskpUcZXZybuRmPKi1LCd1apCMOjGWlvU5D623TUxRnl+Ykw
8pGhbyvXGZG3K8MW+QYEr7cscRYuOlVNaHZbpp44JdndHohwgMrLlpIqYZMXdXOaCkGm6TSOW9ss
yAkZ0G353gBHQ4R7STLSjSZGi+KD8QnyTXGHJ7S+oOhYG24X7rVmXsAQ8pJA87DDA6obSZQ2ud3f
yK27tWxF8RN3PoqU2Mo3uOogAtL/YJpHby9D3NXgI6Nt2Q+4QpNWjm+DsjtAjMMoX+yxZdbXVan+
igwG+WdjQrLJwij6CTyGvovU84NlhDIUk7gc6mKrzdrfdc52+ejNd3Q139bx9eIurpe4db3QDTvx
EZtdL/rueulP1wIA1QPFwHAtDFg5UyRYc70QzJXDv7qtf7Dbmvudv6/jCqe8+pX+pdv688v+7LaM
P0yDZmbOIgXz8FurJYG9G6DECa/n7kOo9SeSV5p8Bdmm/M/QlbBnkO6fGi4IGy53pXJ1xxF8rfVP
tVqC7/G7gstRaMR117AkBBBBrzWT+n8LKh2gXdPgML7MOhPgZ5wVkNfKdIvh4GxUtbsPve6NWemw
IIrrWzLaPfkKwvvfLwHc/9HxzT+HZNyqbBrTORPgv/8chuvj9SAVZ0cqYLJrUL2axPXmHAntTRAc
zXJXWhdMtmec1bhTFaEX0vdOZBI1i7IyHtvSRky6m+rnKTwb3JVGBJYrdJhXeQ22WMs+FoKNY8/r
aqrmbmw5vr2a8r5gJaG3T30d3UBqYyuUrfGDXrBE3Paxd5BGgRjK2nh1+mKm/i2+FXQcKn5sQ6Na
kzbzC5tSvoICZa1o+waMRH5VrAe+0YpgpdEEjfRak2kCDXwTe+Mu8o0Le0HahhlmwQdbG0bzinaD
oD/mVRuwkAs2hjcdDcFGBf5ylKdcy7kDDG6pF5rQe+bpD9zxh9oHMWnYhywgmxPkrW6XD8Og3nCy
4dUY4jMAF7irPkl/KG+cnaFCLK/pGdnUwRrUN2aJnaO/a7X+NBew4BdPlaruLU9s4ROtxaCtelTn
Cwk9dGm5cjm29AJj8gHj8CssDWsHgkGs0Bj9MCL09pyV7CUnEhVRzJU4NKdjI/oT+JEa2iVDoF7I
pcHcmiwFqJj3gP6XiFigK5r9Qzn4F6Ez++y5Zh4NWswkG9ekAjZWz27GeEodiIa6Ropm/VBmw0+X
Ovuh1t8mXBRjoSOf6otXiBabkVkbOD21SckzTz0Worb7dLUSqQ1MP9o4YaeroenWo96dfc179Qp8
WZZxX9FxsSpvn1B90TJ85SkSZb0jy2yIGAngbx+mnsgy2FOVzJaxl6zcoXmPDJxSDCcW+LpfbR5N
WM1PYYqf1dOzLw54BmVBusprtO1S19Zp1Hzqc/iDp3uM9cZDY2VrG7EaZtaXKBWPZvpiV9V0G8V9
/NJN6bGOzTuPYnfrjL27QP9LCoG0VoiXjnbmrqwygxMRv1otRF8tx+F2W6inGuTCQpTa7P7R0fbZ
bA36ac+U9sWErTsLk1aEjF4mz77pBiKoLAU6wEALQXxTAZPKXULaIXnLHPMbE9FIi4xoBfP30rCa
WxNZuzNMwb6UhSkbF7RjTnDpfHHDAgeh0B4wCK5MqyCQw72EYYs6wxteiqnZTbH1wfYNa2KWLGJN
VKfSFbMyAdNKaBnrcWCs4YQfKnFgU11MoTPVF3dpygonByBBTqzupLtudjA3rL2nyXrRQm+JXmXL
o2Ejk5fp3iBadtEJ0hwA3Z3xth0CSV0op6ewk2pVtvZbiLtkGYds2Sa1HFGQg2q5tWW9lXJYZpNj
HzFSrv0y+LQ68yK8aH6dJGhIVh2MCm5xJ+2H2H2Hj7APW/UF5nwfldPdOO/lMI6mQEAzEM2kBySl
Fm1ym7gIZir3xO3WKKWIeWfJRVzIpYLaqtc6nzzNoq9re6IZTmmY9VjJjB4jQ0fHhjZUs9RFVeQw
JBG5IyhpQJ9vu4CAxFAFgslN8ZErd8U0+RmTHu9KXazoGzYJ64rVOOS4vaontIW3Xta8tWNazHLC
gNAhBxPw+GD3vY9Y9zTYzZH4O/K3qkddc2+hlL41iXqXjdywnLiBXPFWjvFLPNrptin4PdBijRpr
xI4djw3zbzS1e9fh40lFic4Xn0sLwqeNx2lRmjkzFruKsBr0+153dlIa26kqfow43bJk/+UAykWT
4O2zIpAnTI9IdkrioUTpfEtpPw9zuB1BJWuwTpvScKGXmUm9Tg3G5FDEds7k/pKzh7asXZ4/lmCJ
FZA+GWlPMsdPVo/1mjfs3IziBc//x2jjgTTBNyz1tP4VxTYvBiP8oIEu4nqXTKMF7p0bvWvOk9Q7
vGE2nVEVnxhs7Scf9iso5oVOsDyQkvpm4mNlJHaKux4qvcWiFnAk0V5IeABVOBikfLUk5pTNe3zk
1ds3os3WraldWNizFQ78GFWNdjJ1QgBDHytlXmzpMO+pXWs+Zv+uRnpX2jwPlcMnGa8ryz61rrHP
J/PQk/mZVAcrmC3uTrgjs2yBFf5gqbfWiJ8INcakWW3J+MZ7D7og5xDSc9Rggbdlqboq8vegzmiu
7JeuEnvoEasmMY+Ie3d9V2wIXl0JlyLdcay9HoIpirEwxvZD6fUrqt7dGJ5BfADABtPZJzuXJ91J
xGubNLfMI3YxOA5GW9uw8eKVqr0dIX8QM7rq0fKaX1XcXmVR8cGqXhwXFDupabOwMXMlTun2Rtg3
w4SrDdQ5w8rqTpuME1m1m64YrIUb8cpryr6oIfguxiP8ijW+vttg+Em76awraxNF06LSDUBVOYz7
Fv5gIo7Ubywpwx/Wtl+Bb94aVnM2rGo3a/n0sV/rVOoMttxXZ84Dan8aJZaoVC8T6IdaVWdVDryE
+SuvyDNRnQc7ee+cGOZIRgZltGJpedPq7a0dkUaZK44XLzgpDi3UJXdVnR/sfji3LrjQIr3FG/ie
+lqyGjXzw7VLNPGSZel4AhhJHl1kMCoSCNswwYn2Vzu1r0EEi19Nu1hEn1OVfbB2OQbaySm8RTZI
LNQ5WbhBwdqTpilBVI7ovg8fZHowOBTYhKF3LTCOBWj7zKZFQJRue+M0RQ6byuRWd8Nv+uO1QR/C
9pf7M2+2ZANAeGF0Huun3MeonrjljW/GdyjuyaWx7tu0I7aZmUvavAWnLLmR9VNkxiuj1DZFHZ1J
aGBGQgym0YXPGM8w8k60hgG/VnSxp1XW2lucZLs8rb9MF0NOGO+Gkg8QI5mZopGxyK13y5AEvOQI
22Zl2dZzNVQfbtl66wZ9Lmjz4FmVWr0kFnRaDlH6xGLdvGMWK5YW8lHUzEQGWTnQM0Q9y16rDjHb
6rghBDEz1YV5zJsfjQxo2pe6S7YaadKALavnKi52eT9PxhEgzFNT2W1pOBmYPHaArlgMQkABwa/S
+xLK+9Krt6MAfdGx5fVPXa/cZU9AlOvyqBN86vY/CWrjNrxrSvfQp4CJGrgR9YElP8E5ROPdD1Ow
yetNYMEX8XJiIWU1rEir5P6AvK639y1X0Ty9WkT9dnKffFu+0Oreh63OeeBsQ/8xDuNtY6gd0TyX
CdwWqT83g57edeKSGjxASICm8F2DNTOUAtpZC66ErUPf7Kxe3jCQ9gE/Dgfcl2LZl9aPy3yHd3PM
/cOM346qHCUajURRolO4CcUIxs15tHp/45jNLxgBC11325Xy9JDRD/FLmv2Crx3aa/kMdmRNCve+
lUeXVXgYcWSZlKQDyneQEw8ifezUGhq22S/b67gazRgO4DR98lk7LjPMD3g42UHb3MiVXk8H28vi
U+FY6aem0FdnCD73nocKj2PabV5VH+f06BP6qFBBeU2a8QfgrHNxI905sWnovjpkZWvUtPpWKbQf
i8kC7+21zlI6CqAUq6tPK4Oa6hipddRLnzErh326Q3wVP+e266wTkbr3U2fM4JcmeE+phncJECv0
65oS66ZAth+5DHiXrLiCdWJkvLBJuBf26O/sytS/+ZbOJ4736QO/h75LFdBAT48EgeqVsQHh1Nw6
wVgd9CxKj2B4qgf6PepjCjOiL7Ed35VpbDw6/MTESpTcLVEAQE3UxTHvTH/faigDbKYol2zShhV4
eWfvo0Amo6lL3G2bF+UpY02x5q5B/aDcaa+5RX2Sme0dkqqtD26LH5oijtZrqFw+99wqTg2uIeAf
4ylHs049A07oIXca+1mv9PGzyDNMxI3lbXwMILcEMORvg0HsEymIMBtKg/fHQdX/4URW+6olhiLM
swuiW5NR5qNyo+DeNfTxrsYhfRZ9pe47MwJQDz7jOJrPHbZRHC/V1p2a4d4DQPekmebYMYwZ5Zty
NJA76BNW5jQkIM3s9tyHk30zcmG+Byq0dzD6HNS9AyLeasouAKibixJNfZu0ItqnxE/TQyJ7BieL
UjZ32g26DH/LXBJWnlGQvwbyhUG8FLiQonQLw7fY4jPmVInHcFwEvicZ8LGBE+jrXoyWwRD+8vQ9
Uok8F0jVd2Zki6M2MTGzpozZURJechRoQbuMwPksuyYZb6UcuUmJAukeyGlfjngZ6zHd4uXNVm05
faok0uh4ayKoC697JN/lySFiChTHmxUmO1Ol+yAHFDe1Ccd+uIOAdiwJqscyP6tC1FLTHX9lai4i
K+5f3X5FxrNnAK4vW2F+WahADXTxZhWvke4sOz/eAE/A6sBSBJCFGrIFSi/r7Pimvs286mWQ+SPy
uX2oO+fEbFfELi+DyOAnbrddfJZ69SwES7RCq18RSsGY8okZrlLrsTO7J08Tt8VIch1BsoswiG/I
Otv7zngL+q/bF6I0V0qTyS7NupjEXnk7Ou1iFsYv4RKtgdWfyrCvidqkKGcpsGilucF8s8lqTa6K
NdvANoDAlNdHN5gN0M7GT7KfIquf/v6ww7BIX/xt6OKYliL4iVWUZSjg/br7l6GLRUp21CgL/k/y
QpsfHqehHW6HvoAtIZLxoFvzDjf3pzvOp+C+Dy31KCLi8SqvBEdWW1n36sRd+oG2dL5q5rcGEbV7
VvObFMzvVDy/XeX8nonrGze/e/nkxw89xClKZ17Ndn5HcaQXp3F+b5P5DfauL/PgG/WhTWIcVx7v
+ji/9c78/lcugeFpOpWnlH01MQA9DDePoPR9RPrZKhOVd0E6gNZoPlvEfMoAaen3vsfJozce+a5m
bzzayJzvSlFTn/tB0DzoUV4/6HmdHpneV4cCOeGtP9GNkUUgHqSnOPPm08+az0E1n4ian4tvOZ+S
1diEeyQ4C7coA9hp82GKECnn7vTlOr0etm0C9W+MneA9K6gzMIm792YUu2uQx/FzZwQ0DH3P8a0H
vYV/uA/uTHhLnx6s5TXRQEujiLjkr5dA3sb49uabARRn9+XNt0U+3xsQKVjBz3cJvjhcJfP9Iuab
RrteOvw18z1KfXga853kzLdTPd9Tnp0EszXjJp/vsGC+zQTXGjkhzIydqZ6+GBIeHSI1gaNKUT+D
+NNfneu0eQwT+TKqeQadzuPo3h1wnI8GmbWFzwAq5tlctxbpUFNKASdDsk+MITujhCLSN0C6IwsZ
nIuOJ89IShhoOOssLQCwYLJS/mWmqs13OSQumhuofZsahHC1AiIwf0ejos+3U6e2uac1kJ4slIJg
Wed5csmzyMLvIeUxjTgktlYPhwQjlkmlAEQgw+RkmfGHoRd3nZG4HgZoqcpN4BnUJXQLS7iuMQOv
FDNh1NhM1RQQx64s7wO6zV2vmW9Vxiin1Ts6iYm6cuLxJSEAzgN2E1fzHqOofEyaIF1rfVStEFSk
514HQOfQsH/TxLxojq5ORuu667own7qQ0rNDAb7WUzR3XRM4y7D0k3unt7QbJxziNRc9tG89Dh9t
HWGoBXMD5pb1GIro0SnDADCGG+8ymzK7TfWDbwgsEl0wBBtr6Ch6miRedYb1HuKi2zki/BkhMLD8
mgKq4rhdSzHewOAkhjrl/97zYECJ715VK/JDBm5jg28bGk2Vy205JtVKdG6K9crcOgFU2STr8YDp
pdowTGWsohMhO++zCJVAFQ8TlerjqciH51ym2UOvFbRjThJszbbtCJhv4/wGCyNWEvLMts04FmvU
CJBfIqvYOMAL0d929aabs6hyh7mmB4MXcAv7TH+o3/usswn1jMPXcMqwZyRUEKqotontNNvUNaqt
N0F8N6uQhXrK9rISdbhoCrzC8C/KpV4wX2wioA6B76aUFoVOO39BMIPS2KBiGlHCLQIQ/fg2Gv7C
I12rN/cDtds98nWg/mEUcu0Se/uENSw75o3y9rKAUFlw7Z5yz/4SRZ0+xhLRnTNwoGgpvr8u+YkM
6xFmlFgOAm+h1HzzXOSIStk8Sxqb4KuGcYXYB8VEXNbpiqpAsOoPP8ZRvvbJm66iUwPGxmpkuBwz
+zKJXBIxn/1Y9XQ/ityiFG4ziA3kxeLntOWapsM/15XsVphYDDqRWSabsaAihK566NiVP2EqBX5g
i0+ESgar7+jJrpKdqDi4NMPp6YyLCievCG582ziSi0mYjsH7NVRcEnDcwxUD6XPnKZaerZ2XqGa6
fB9I9H4+/qfXyJmbTN+AWADxma9DLjIto6ab3jGxpSvDNQMQw4m2NNH33dqIHn/BxDH2vmbpx6B3
gdM3Zn3r5XZzwU+dXZSnDeBKDKonWdrYsKiourm2Kucqy5jrrf5aec01mNQae48nS1t51+qME9d8
cuaSbRYsb1s+8X+tsf6RNdZs9Wfv8/9nEVzar/Yz+K6q8fc11p9f9l+ceIkMzdQZOUnbMA02Un8G
S6o/FFpCwkEtoeZIaf7Ln2ssYSEzlIbLg4oqkFLrb4pBof8xU+VZiIEiAA3nin9GMfjfCyoYB6jE
Kat0m0dy1pD8ZXv0t8BSzVFvHu6n2iEOzfdb+DQEB/PStsPGd+2bIjM+f/uk/h/qlRlx8JtU8X98
679IFWezWBzrNVEfZkxEYgBcKogmThzvoy9Z///97ybn3+T3b2ezIxPkd/87d2e2HDmyZddf0Q+g
5Bgcg5msHyIQI8ngzCTzBUZmsjAPDsAxfb0WmHV1q26bSrpm/SKZ9UNXd2VlJhkE3M/Zey2b0yM9
E+tfojJZNGRuT5x7P2S5c45V1BMKowYz+Va+J6D+KlgOHfhOq11RaH8XeAMD7kbIEAXf68CBcOMs
K80lv4OufCOzaWvrQm56EX1Tar2WwBLepHV2ZdpVt/v7Pz0x0f/0x8chzmXTc/is8IFav5F/Wjdi
KIGPMyhnx0SmPnqYxroNVDxONoNDFKJnCj82PPGX3J7u0ISnj04kb62Jusdg+R0hRPWaL9BRSX+/
GU51ndjOwarzj7WcQnIoPfWK/OI08u9aJQfdyufFFY8+Nb8EXo8/K663lnhC24YbJyqoIawPQZ5+
HlN7WvoZhyJK7w+OzI7xPH4AWdrkY4LOkJVRNPQEUfN7L8kfmmJ+dNTPuV1hCdPm+5ROy8GbCY31
dJ1uas7KJMGa/BT4Wp8sJjeHriNaIn3+MlQ1XpzWtA9WYcVPbi7uwWchJQn4nW01MCyLp/k9K3vv
UAfZdJjgiBD/KSZiplzEOEgxGXVMnd7OLYVx+BbqSFY93ksK8VyDIsKyxhghBCOz6hAbvBuHyDku
Zcccvqv977awPDRyaX3rS9IXOmhikM7oTKc84r43JtZHI5fhs9G9OA/m1WglI8enheOlICeyJwhR
7yVqlXMFDYPzxULnqzL3xFabn2ma/Uzj2j2NbH62bBBHrHrmvdHxvqpnmlh58Zb6yVk5DKoGoAke
3xrZzS3MTH5Bk0XpcSyjLERip24grewmXT95Bd/vv/9AWjyA/vLj5Et6kTw9HD6SrMAtlvN//jwG
XCMUSCJzp4uigs4vl7raNopdGuANLu0uj66nNLXQtCXa+J5Ekn5X40PqilJVX/ue/TxZw5aOGfp3
TemYjtX8aOeiOHQy6liaduIBXnn+rVNa33hTJH6l5/77XyQZv6QZP6gStem6GfpyaPyvf/yPp7rk
f/7H+mv++X9cNRv//Kf/7wA7Fll0ni5/91KrsvePv77Qvn7Jrxea5/4W8Lbgc07QgqnvStD544VG
mN3njcT6wuHVIgIe6X+80PAhS9P0vMDzJa+09ePyj1hGwFvQMgW/UJLJcIX1b73P/HUE8OfnPO9T
MvC2FVgk9Hnv/stzfsVqu5BuqwOH8+5IelG/Vymr1Ni3ozscFd3VqMQcFpRZ4frSe5VlxeATN+lV
IPD5adIoL341y59BK9jxOJ6x91ivh9aYTVdGXpFEdQx309J+ousMojuelndXO0A409DmMsl8vbwy
CEeF/BR7G6+GLdkGhCtmwm1Mil+s2vkJCGtrD7I8512jDhbLBZBTApmBanj3wttIdymTrOdCpgZR
OELrZ3txqhsO5MttxRr+B9cO0Ci+637MqbWKhZ3xtiFFu7ccg2R+AxH2hY0b6zJjaLYOZnt4IVH+
XZa6QDHE7xrR8WcIkq7ATGFTJFd1TFSjG09GtaZr8dmGON/ukYjRtUd2dc5MMsVj60+32vD9Q53I
CeJmt6ZcckARdwmEtKORr1eIeNQPmFyZnrqVxbCvz6znmZkL6AcqqpnNGT5BdWdFQ33AP3ZnOdXw
3Aci/lRF2r6m7ujcEwTgPC7WJbhPiGNimbcr3QgBa1Zap8Ca2SMM6o7Ro8mjQ8kTC1Z91ZdRej0k
fvUyRpOgOCUoTndsYPhobFulsvf1KM0t3mcBrlLTpDk5esMjT/vywj3uM3JYQdAb4jSkXfXqUhLc
Gs7c/HCX6PcZ5SIKtmD6lljNMU/kWWsLnXJjmvdsruBkMqS6y7wxeHXcqbk258a5sukFnrReip8O
0k74gwwAWIUm8jLjALlAe1lf0U4gfzRSqwP9OZqNE67mPAGHVAonuozg2o88yWGsmr4JRMJgvTt7
n1HLleHVzvidhRkEjx3UtnMh0UwtZPXkxkLvuFviGXMfvciKZSpDkrvYrQm5JEt3CIxlfraWwgS5
SV83dmoa490yX4qZ4UIsBkFNUA1hTGVuixVkDLXJNwhHgBWsWfQWyTAZw6NgAoFta6DZabi/awi6
l56w7E5ZKti7vZq2jEynU88P88UNvOfYSVVIv6Lfp6nn73mHeU9Bbgz7piiplCUGQ48uBdMtXWLl
UR6bu6x1uQKTYtwvlYFGctZgb2Y4OK6uxc5ZUo6R8DRuSreejxYphUORiZJcDdkF+oylXYG89Jfm
JvKxR8vM30oihSsr/LCwb2soubRZtJ2HGcCkVX/IhKgTPKarWE504rXI71mVpnumrCyBO5BFVKb3
FHtd1pJpxQxO+G95OjEwj0U13JupGh/cqnlz3PKjYlEjl+6a6M4Ptpsu4ZHcPzZG6+xbs4x4+Kz/
xbL1WaeZY7FtaEZ2zgPDjpkhdtuHHDLnxzhI+409ghaNUjgnUwqGXNaXNiUiyx262praNR4YTepv
ST0yvjDzhZayK249AIDbeq7MK5EBd6HQ6uzIXXqfZNOjvVu79k2rbX6YOEbvIhwkjyTz+KpOdLad
OZi23TBA15P1sudzXO18c+amkC3N9A3dt38iV8seJueEw0G8Pk9AylYyYXcY6mw+5bUEG2hyjjt1
S7wcIh0td2QV5J4bOPI+m+bvHM1TGLd8t2fcz1uJD2RjwqM/5IGioReRwmlmzalVw3zbEIX7aDL8
3Pzb9Qy4iWJ7CbQaaHodfQNluWyHOm+u+2AczkJN1RmkrH+EOFV9QKDs6RhbgmpNLh74ISdSlCbr
Lpb9HF1Ga7Sf3bT2GKxAJ9rl1aQ5uDgJaEpcM/4uIRm/z4asWPds8c8pKJ/tUaldM6cHozChWuTd
sXBqL+SFIV8Rl9/rbrzMVNGjKNsm2GC25D0YnC6+m71iu1ooxfsZPO6+39d15odRWwSgi9aSst0m
HdV+zc9/P0ty+XBT+kqKu84rdrnQlDGIskOjGDYZVzWdMUqla4F/xXausgU5ohP4j9UyTFey5t1N
6cfpH6FFp2Gpx5+5b+fHsY7NMIIGllTpPVMdJ8wzUGILA4Vt2pEu6wliHNBANgdb8gSXMFwoaVFt
xaI5fEKsvU8G75mRVw+Hhv8A6PFmfm0yHhukl8pMHgeXrA1Dt2grEGt2RdQeeua4a6Fr/g4ASj4I
F44+/3VKOMMxGuK3nkkma70n2/YuVknk14CVTAaOZHlviI0sIgPoR5dct4bIzrCznBNJAbWN+Jt/
kwzP3jo7G8NU+fmJt8Sx6qPmEfdne5jZdRPuHwZssmVSNa/woOIrRR/t1itndnwGQf8ycABD4uTh
NYjesMjLikGuG4Te0gUPnYt8As7pzhX6VVvDJWKTqMdsuZhlzDUmsXjNFhVAkaqHladSTMVRxkN1
MvFirXj40e6ubUhI5LFJsic91Nx1qVNwDzVNENqE95oNFNQ8NJf+1ELcmya/ubYc+tX8W5+AtgO5
hyTBV7HorPbRxs993fif3mSPv6feHEGgAAU/Msm6koByCTyNaU9npx7794XX0GcGAojuuiiAeycN
diXmnbzeoOw9QcyF6UkG1giB0pbWdixSdT8Pog/nRrY3LPXp5fUrPjoFufvCoycLVRNNh05VeMWt
eTwIizIK9kI/1KC42bQl7qORJxMQlnkpD7gQIka4SffUABebOuXf+obUzQau8gsNq2XbUFrgadp8
Fs00PTUlvBSDm/BeOwVvb9sug3vfqV8mb2ByPrBDq5JLn7Z7OEaspGz9avbtc8v1bWNXuX3PXKXe
VwFjAF57wU0VldxaZ1F4r5nEBVVzrKC29SNLnAOGCVKx+IrYa479qMMR+E1M4rKMS36yQJPFUDKK
LtvVmUS0JtSRhvwdeKyHXCQ/eKGxcBh+dtI50JyWF+jxak+HI9i6GWUdiXGK9y6nsCgBm+d6YeYu
803TOYLUQ+mE9uyoSySTfSHJv4fj5HVhkDj6Arpi2XiNgtlgdFkTZgy4n3j8+tfz0sHD7QfD2XGE
R+5lcup0kouo8/QKSq4RpsNoH2l9i3tOcfNjnRXL3iFWcWf6QILK7CchPd43k6OJbop+qwp946Id
ORsJnLROSlATndWFogHOGqEwDk3bnI422tgtDpz3bHYbNBdFcT36M69o1m6ESGvGFB25l3pJ5HU3
Ivjk+K3OvjdYR8y5VMuj7Ko0JvWmITC/oBL0Q4u1AqXF2WDhwZbooVV+cxtEzNXHrH73CwzHMiAv
PPL2IXnqnohr0llS/aty23eIbSQrLfDDc6kObo+kAUGu8U2mpf9alaOxS1ViPFdOG5bueoOXc8oi
gC/dJyzjcseJ0r0f5xndcVYJCSGs7c7sf0lYK0Wcc3CPUANdvqhlfI1/rLnzfF5SsN9Cu6/0N5om
6homePuG39UMc6mwlQH3NnjwrLamMcd1EamWzw7pSwDy0Ra2mbF3PRhkCzP5QzPo6LmaE3UPdsoP
VQJ7zW4b+4JTrjlxBhsfaquo6Oy24PHBIq7gyfnBMkqxGdK+IIJregeVutXvQdNEB5akztZXnKAb
L3OuKTfTyFt3O+/gjPHbDUsGBn70ratazOljHHPKIzOp0hdUjrwyiqYLLR3FF7MQ4hDbpbiYUN1D
wNs2GamuO0V0qJilVPH3ylnQ8pDhD6Hilz8dpYOL4TfyZTZNGvU9HVvX1t0bTKT4IVdZ8UgH0TqP
5JR55ZnpwJfechknFISUTMidXbe+XKvkvsuc/dLKhANbB9ec9ObR6Kbx4uFrpIKpqovTAeanzujt
lij6HKuxBV1BHmlfFTNHt8mO9szB/Ddzau0ruqP2A5mrbjf1prqKu8zl/OlS+u2l/M6VVe0WamKf
TQ8LNeACeEpmv76lVpdeBpMQONovDuROpc61HQjeGk6wnyrlm1srvcvppuzQG4idDw7rnBomoUQc
RheLFGlJ0nYFJnVQ2/ry7C9A5zaNFZyI8NvXcmzz3/mLql0UNN4Vwh2GbkWPegaux+8yWn70ZT7j
u25BdY+EDcwWRgW/C4nJIeb5WVTRVZTEF+SynBzN4MZq5jx0fWgLDObSbxBy5nBcirfaHxaSkpl3
05AzLuWS7RH84ou3uvFqveTjyqg+1dgcULIFrIZoXkVtEoQNDbaXhKWIDZ2aeHPCzxzJNtZScCPI
UejWhMRa57A8rOo55gBPg0wMLzFZQvJQ4jGb42jvRHt/jA5mrvJzVA732Ug4Ox55uMwcyYXYQ6uc
L+uia099nVrfPN1mTvfBx3OiXF5mFw1TJpRzC5G8x4szBq5zaBeGsCzyVtqJzQe1wCHctxnUkCKh
XCUuMc/PXYHZdT0bpPtaGUA5GsPacc+Ljn5WFmHupO390BQpmehOHYcuWHaGzMojb4rsbA5w5BVJ
+ltNVYGIqQexQxJR82yxFutEfE4nDXsHYwaynjxDjEpNo6PUHljfLIvDE3FWRxWQW4Csx9u6YaPJ
wfeY1Ne57+NOi4fxmlke/kzfmEiqyKx6KyOLHx47MaMfbUTwaBMlHko0kahJbMWQ3ZetaTxMJFT6
8tQ6rCd9QLdQhfnGY1nLq0vWZ+Z33oAtKAuYL0vS8gfPcuUT5zKRVWKLetX2Er1YpiYlPHBv2fQp
FoFNWU3zCUGcecBd1R/A0LkPbTXl57l39UnOtXywJ8c56MFqf7htBqASun36VtdB/2Mi/LDpmoYf
xoGHJ1+a4CpSZn3q+UMS/BrnzcBee5vWXc/EunXIaYjxZdBp+dir0bnkngXTg5bvsnFFe2vzPb2n
ucYfBkLYS2yNn02RoUVPlzULMJi3s8n/BlIdJIFtD8wNJCX9riILw9vW3JUOegFOHyU1AuMasxwS
QSB8e4+DxSYwlbEpoFmBdKKTxjEdI8eFTav36BWTsaMpDUWNtP6NKMXOaheUnrHkiTVQOAM7mSNS
w35DL/FpcvP3thlvljk1iBimP/PcyU6eam/KobW3YiZRRbTgW8flB3wRCFOThEkwf69VZZzTLEnu
v4Z5/9Vzz/+HlM68SJy/nWg+vGfvXZ+8V38Zav76VX8MNf3fLA96B3U/+y9dMzf4zfG56bpUvBz3
F/DjHzNN8ZtpYmwmiWU5TENXFsg/hpr2b4zH4YFK2xYElaT8d4aavvuv03bTgnYAxZWsimeD9PmX
3BO4z8mojL7bi9ItidNGq/HAKiSnvS5gXcDIHbJFN0EQPwRfrgTFhqEKy1Wh0LWI1TelFftX1pDb
+9Ge7GuXwEW65aaDf8Eb22bZLl9ehkyXlr4OsDVob/U25Mob+8Pc2kzihgEIbBxLTDdEYaMb3Y7A
wdOyck8EX5p2p3VZMvqfs/xtSadp5HA4AWjD48oJEEUnGFxRRfH15A/uh62U3sECGw/TEPgEa83l
RoEy3EEwy6Es5fWuUTp/IDehfgy0f8ArThgtRBG5H2XeV68WUIaWWammHVRKCHH72EGIMQiPrjCA
D9zVoGiJLY0exVtvKKdHIAb6AOqLKDSdL/1GWIMEDZzVN4gv07gZYX/hyutagf3FzEgjfbk6cssC
F158OTzcL5/HgGuEkkdLLmITV3Zzy4NX8UAxdfDWfDlB8NOyx0q/XCEje1TKTQ7FCZcFHz0zE2tB
PyaEDpyAn/Ous4uezshqITHAPZFbGuaOxVdFKPFELhFu8nqu1Lpn6GD1fcdfgOcV8Z6pLfcqq7IP
u9f59ZI5zR3zOednYprTM5AoQOVYVBCljJOqzg2sV5LjzTjtomJsXthrIeZZVr8KkSU64dWsgL0K
oAEvyZeMRTXYl9USpKs4zKkfTDfO1I4/wfQyjH1xR2w5uc/NLmv3EY6eY5LifLFX+0tGsluawDAY
8FFz0ihi/NUWw9hpoGVhjqaxtb+EMtpIZutoOHhmZMfCcBN86WdMD0oj7QFR8T3DxbFhIAyeUA24
oCIoE82GwyHCnIaXRoTSa7XcBF/CG9pJy5b46fTG1te/JmJGLS798uQMX86cJJitiKOQSyvMbNPK
Poy/xDojd+5d/yXcEbUxIGAO9DX3MWud4PjPedZxG8g57PD878pyGwzlchd9iXxwaNUsBDv7mK6e
HxOi19U0IFs6FF2FSMY0/eqtsjTVM28VBZl16/5oeuGFAHYQCTF/689pNLvoYSfUUy009R0mKvct
iDM24tTDYcTVGtgDBlAdIJRqLLxeympPvj1BbGHooPeixvRCk8DAdMQ9P34AwkzmVlF2eBVgKr9l
0CM/3MF3rrxxgOsuVn1StoqU6Dp+0wOQwm1tc6OYe9N59yS87NsYs6XLjGq1MgUTgiZV0XoKc62d
czs4BEtxIEbZniuKfpV10n0kWcydsvgyP7U8B7K9lS8EdPPZmuUmdgW/cyQG1D+Ry/n2Sn3ZpOrU
oyGWEHsYtpMbNOR75Zd9KrepEICNHOnoTY4Zkr/DVRX4JrhO9NfrElv0Mw10aOgAffnAvteOkcII
Xr1XAB+Kn8x8zH22arEqfsK5Q0MC+wELsb7A1JWHSdCOSwJN68haJVstTMJb/8u8Bes0bS8xR83v
xlLZ2JNhLwCnDK4h08TPfKLg6JUIo6Mvrxcvk/kt13NxUbGP96sVrJFY4sTWgTR0xZrYG35krTMd
AIeo7bwKxKovl5jOTM31pTdxjMWFuzzysJEErwI/evczw78A4UVN5nJ+oMTa5K+wXVgv+T10EDR7
pfFNCdxmGGEEM3jm+5hsKKhQuVM0W/n5vhbCqn/2tgq4XH9p03xyGP6L86VT02JVq7E4m72D86Vc
w9Qgum3/pWJrVyubt/rZ/C9VmzkC9y254ITOl8qt+7K6yfR73ON5s1fjW281+r1YLXB69cFZqxkO
5Jvx6PA4K7cjrLxhlTl5lGiDwtrpeRneZTDRkE1X4xwbAQtDFSIdNh49RrrVTUdJl52GCVx5ZzZ2
XR3bqHfSR+GUk+TfjdIXpg2L2OjEL/YBr/tTPlkQlSBTcv4EiWT+ZI7p3WKWtb8bxlDeWSTN9raa
9EsRT356V1Lo4YFicabbkKGvvmeriw/G72Rv9WrocylzbjFO1P4OHD/TcYgRo/cUr2Y/ZFBWGcqy
VN9l66zqv4426DbKYlJ8bGd6xOyRZEdQe+UOKDL4eznMvmI9EN3pdoB+46UgsUOixzy1nNVA2Lm4
CMkMR3B1uRRZZUDyfHUW5oE3XVmGZR1jPSQsu1fWvklktVl9h1He6zcqeyuNqFzdw5R7uPavP4fG
xi+8int/a9/ihXrQCGRD21Xf6pjcD9ZQIpFZD1g2ldEVjW1CeNgef05JJk4xkiaoi43C2NrMVCZT
7I5cXyPlfeIk/uhjB25IWtRhH8Ulw2hG1hk9+Mn51udcuHZ1g7EM8EkXkDapSTafiH4z62XklTWn
0YmY7UmDQN/WprbJ8qmYbQXXsdDLfmp9dFxT4v+sa1XDdzd78yVpfGMhn9yn8jjiYpouCx+fn5Hr
okwehxVjlaBcW69yNHL7jBUSEekjOkxjZ0Hz4rPC6FlPNN49fiC6sLDT7FQDlNolWeY95OQy93Kg
thyBS/xR+qn1u59G/Vvh2104LXP3YSgbCsniOhCSyGXTd5WRe/HYrNDAGyuInfg7cFe0tL6v56w2
jGcHlbICcTik9dan+F2Flkpp2ynElESw+cBQw25IDu7iqLfN3dDG06lJDfuiTBbJmJBsIDS1qe1X
muZ5dgoWu/v01zRS6Rb04h2/KU5lCdR/yxNhAAw7Cf92WZDgoRNpg5txaYJr0VvzzFpRJx9l09lg
tluDiOiQ9B+NRcN6gxFi/k7upc9CBNh2sGX7C7pXxxE6Ri5TFAp7gSWZmHaxHMpZEqXJ+SrfmK1v
4d/MbW/lxLrnvMQB2lg111u08t0LhyjqqnlgWj86Nbevuu6Tc1FKPwkry4d/yUtpusQkgniTsI83
tp4pI8q6tpndag8+4sZ2ZR82RK+X0Mz7lvo/Zb+TbE0fgC4POySL7fr244KO3HMS/H7QoZYbrNyp
tZ0IM8DuhcQ7Bkv9YhOX87bST+uTj5n7NRuVzo5wGNX9QJEJ8H1stfNOp/wnr9kPzektNOT4Zso6
nL02PKx31gPq3mpK9yHqWuLXkeX2bECGhVE+UXM+J3gE+DvbhRb7ocvClvlHSGg6HTcGB9N7Gcvx
Skd8ebZRYi5UQZNFvuQjp2IeGQkGwlTQmt75ieOX32KZ1Z+kwywUZP3M4yJGZ9PuMPYsaFh1X7xz
UIge5mGa42sf16fY1KqnSsyNgzVKXqYeil6VMVrhAT2jaM+S/iWPHJOFF+/oW13P0VWlh2HHj0D7
WWppPoz5kHSh2QTFPfxAmsFKBC/WMMmDNQTBp7YH8Twb/njlS2m8zSICb0nieLkf60y/8fzluOCo
3nK2ZOAzBIEOCoMRO8FJIJz+VqczAHPNO+Yb8RO08TCFYRDHhcjyQ808HpJmYFO7i6HgFJyUBXsf
wd7N33QpdZkj+4by7HoDkaN6SOwTZhu32CvB4IuRBG83NJGJmg8RS7L0vIC/upLaIeGmHRMoUZpR
OQ/B/gW/D+wUfnQtg0nykLqydh13qRcnm4nru8k4teZBJHVq0GltE+ecYqhDhQrqIttL4KdUkplY
BMZ73XbeccYMuaoglkJmp6RCggBOcOC6ExKyqf1X1gSm/yCp3bKW55OGyiWfTEnnLdLvEoVlN2NM
2Y89nst+gmQXW05tQEdzXCr7rsUHczH88hp4M41vbTuDfVmQBsqNXXs+8TP5hHZFLWdoGhhTAs4E
d4U215rUWi22rguHXfshYatf7KDkk6uHsuLajJeHgZtKUcmWNViVKKVukqXmeNTUKfIYy2xK50LB
torO0uyG5NYfPe3eumkUjcesY00wDbK67z1UUNe+5EwC1VZgRA7o/Nr7jpJmemKlmCJgjZu2PFLU
Z82PvXzuvpcLgOkA8Lu77n9l9B1OdIVXcYppNMdFb0cx3/fRAn81dMg8KXiqdGtac8puKZ4t8d12
h66nXdKOGslDs0rn5Bxc8/pW4zH3TX125tLELys7ZAfCou4ZM5rlGOhOj0nVl+VpTt1M7BMG8D4N
Vx1nN7Xjjd6WmXfd7/rc6vYoGAYj7OPRPcz0QiM0MmRi9k3m8+4KqojeX6X0rCxckpYgJlS7+KYN
wy26tynnuN2oaS5vijX3ix8xkXgbXNBxzbkS1RwcI+Df86aXpZe88JJyu5Mz9RXHHDGO1+x1IAvi
E+mG8jlx8V98UBkZ6vsYqFpYuc1auFNRytWuc4c7+hbBW8bhDo/qTAog7PjrIBxo03k5mjGbGXrQ
bAh2fiQ9hz2B1+89q1WoWvzWuErL/C3IWJRsFGyYuyRveCc6UfPdsCcGxmAm7jK4/Bm0cY1JNofs
QZOosDaLPSApnVzaEmmEENXqS15TVWJEvxO4MSwKnBk3I0YMmFv6Ipl/zHFr26eOoiwHVjEAS1eD
ftQmKkvtxvbqdyGTNFCOdjajUzzouOPZVKHkvoonfmI5tZA4DCMf4vU2NuLho/N8ensk0gA1UgbF
PQDSjrp92rXw4rthjl+62I75fvjrTqRIY4aJrl1YNwTEhjjkV1PEJa4kjFBlNeCTekWEbRn6kjeN
gYQrHv3AfZXVPQOV58aUZw0oJMOtTrgQjW3hetE18LxulbwtQMeKWGLfWEoYIrKI7Qd2xQ6M06w8
ZWxWlw/b5Mvhjm57xeeyf+IrHxydIAbQ0VNzqHfj0p0aUU3vcSfil3lOgQiouM8O+GOt82CbHiKb
YCbd5pvFW4wltqENU/pi69WmKMNxkA1+AfT0xSXQmrDOYjPtB02WTC8qzoMrn+UkcpuczTHR4GhU
zP/7IAT56qqwl2mCfC3F0hSOGlN96KjA/ZWB/q+eW/5v85rrb/TjT0HQP37j8L1//4+vBGj8Wa//
sPtqBtzrz3Z++OxgK3xlRv/N/+d/+/y/6RcwG5R/SyR+THMcs3+eWv7xS/7oFvi/BTCAiTmCEHZ+
MYd/RTF9/zdhCtcShC5N3yNu+cfQ0vJ/My3+DwHzLIyGNBL+ObT0fhMeKFzGnV/jTPoI//ir3/1K
WP6Kz/Kl+OOf/wynNP9aLQAB56xgY44RJEqE78gVoPWnxDrvVoEMjouJMyTGeWlHUMR1euNEVnP2
ptHjcbRgoeBAvkOUNz2nYx6fK5PQj6IjFprMURhaUlnMko5oCg+pB8zt06mmf3VTelPyf2gIrMHQ
fwZH//Ofd03g/+nPKw2EDqk/m8cgLSg9OmQVG95/TAAj1t1M0QiyiZugFNEv0+dfcsh//krZX+H9
v/ut/6UKQVRzFY7Y8zGNqXYtTHIuORuZ/aKmepdpow6XALS5NtvVRixvp1VIzAQXWCSt/W1GGuM4
LxXAIdatGwyopE7b5JaMLPn5hq+ea0+3Be/Jm6jX8zb14CiCVBfHbkkfmiHbtUXKZEswo8KGS9a8
IYDzmqfGvIS41NRdnZQsX/pSPw62iK9zHqFsS6Z0VzSwMMpA1DdSB+lNy1DoLdEjsQCjqUEZcKWf
ab3uWwj0ovoxD4k4kRc/GH1mcC1KuNqNpnhGQTmdPIhBh8Iu/E00xek+8zQzEpRODAMt/dqkUhwS
JGB7kuYciWIAFjCW6kNtZc/SjW71PN5ze2x5V4TA8F+drgquejjT5zkLvnWLZRywo1+1s4P4MXGt
6wyFImAktq5k0EJ/xgPFQP1gjxiCB9977wGfhGQjqg072zMLZmNjDfMtwgC571Te77SI7K2RMLRr
hmnak2njZFGklzpaMOq24tjG9VPhTOdomYlStgAZCX5QkqNXrZh/RozBbKH2FFIm4L1lt0/xOR1I
fzk7a2wg90zsbMtZABrNSKh1adNzs3HF9zFu4x0sK7qUDJRmUm3p/agD+8xPzSY19FU0B/RVfIs4
ZTI9TVBi76cSNtRUOoJosGZSPjZkNo0ns5rGHYpC4Fi80cly1sltoGN7N9h2cU3ghMZJZu7oBUZY
jlxx6NMkOjlO42/RyiU7RdiQar0rGdmDBhjAETyR5Dgz7doZ9TBs0QGeFrtFDsNtF34On+ZJMmUa
G4NpqR+Q4mFUdjXGYIamtE8Pgn6241VPfc6ZDRnvQbGcpFn+JAQvHJdBukXJMZScXjZuDvjO7sct
fE5vW3mWvS0s8CSFbtgE094bAnmUfDc3HE8OrgQ/3RECthkUJrIhrFHAsWEW62+jIqNcokiqeD6k
SuIVZiXEFY1GftRGdhkTF4BN3fTe1Vw3+WNmm0YI/egwjc7jGm8Mc4CgbFQSmA7YjlwfgMyckIHo
ccxS0BQTXBrrYIztQVqsmx03fgC05BO7CUiY5idV+g+pz0pHzdMTUqsriXSu7xMMYSbUFLmEI7q9
qXtZCnXr0QLfeuBLEkYfXMDyFKYFsA6h33MUO6szExYHVcqyeuoMjrZTsFdJ+QPB0q7nqBUWHhNW
TijUjm3ngsMyOZi0r9NM3aes343WvJ28+JwhpCNQC9hiw4ncQ/HoVtRY7br7YGkl+bpX4hEq1L6j
kPMAEC/eR+ko+NkeJrY2MT6PqnWht0128J4UgHnpI6fYFzvJtypw5i3tD5vJUcMgG2nFFql4sZ2U
zVSvSauTRed00+guDtsyl/d+RCUTs8dykwmlj4URJzB5gZvmjngu6Zus/mfgumLUT21Am3vpifDZ
sSEOLFvIZHLr56pZeQIc0iTA4Oj2QUWlvhu13Rz/J3Vnshw5kmXZX2mpPVJUASiGRdXCZjPSjIPT
6WRsIKTTHfOkivnr+1hkSKe7Z3SE1KakOxeRsQjSCAOg+vS9e89Na9unHwNgp6CXiVgfrU5XaMG4
LAKhMJ+07cxb5eVPc5V1nKM69ofcfaZtmWx14+NJBtO7AnFHHoTd6IvdBv1aBBxEOhdjLwnx2Yq4
vYWoOpMe4+vsPrO02FsoSrY+vHQWO6NeSkZC5M6x3mWckZeAHgQ28A0jzOWgR3+BdlB/9+PqQMOr
2wNNsNcWSo8DbttXB0nxltCNBz+FIieTyNpNSGRAayTDdrQyeaSlVF0Qlzz+4BL5kx3f+XlK+fsO
GniSfV/hXxNYPX7eQTGxj1llFkRAAwFTa+HazHd6UJF0GlHCah/9WSvzT93SdIecqJNLdH27ElpT
iJKj9iYcaZXUpkZyn+kHzGMhpB7NyhfLqroof4kgNYl0kw1FfKD7do2ancwWPC4LQyVOuhXBAV3C
d+R01op5aU1aVkkCHq9bTCvkr6/3anH6Zdf+6XJ/seRlblFgoFPyYMHiejSa3vDM8GnDKGdZ//VH
/eyV/OOb9SEzC/7h4un4+ZuVI0etjl7AIe397x1NcECe7m8OXs2NVs3LX3+Yc63M/u3Cfvg0StQf
KyF4gOUw1Zl9UOlwzyDQ+eKUSX/MxvhDpshFWi/v7mmYEojb2cuhsxjskTanyACOOwJr+0PGndxw
7Ace1067zPTdCbmts+ZEVm7SlFuYKwKjMIWojT3X1b3IEpgnuUb6O0l+G7I4mnzW7XTdqNvrlu2y
d//1df7Z/QuUDSWW8w9F7y9DdWm5ibTy64k/rB/qtPQOJYSzHkrM33yQ/NmT9M/b9+Mn/VIK591U
JcKOnQOpM+rgRuE3uZiBYzL5rnSD3z0bdeCkXKzx10qh8eF5//W1Xm/ZL7eUil96mPWCgFt7fXV/
KG7zcvSExT5y8FqFLtyLCNMA4UHp5ln3KfAG6Pxtkf/NY/tnF/7Tx/5SU8NCZXGrkZySNc4yoNWH
n0t2Zg2CIKWde6rm6RJhp7gvrlUOUoP8by78T/8EbjKJLDIIA4TuP195IeRkmjKVByctYIuzJabK
nNF0ROuoU6h8Gu8OPwH1JnwJVv1299ff/J+8utCw//X5v6wS/TXJUlaxe+iK/jfHpNOlqyLnVLYe
L7EV/40v83pS+PU+gz9W3GNpK/7/56tNxtTSHdiRg3LA8soxH1epibp/HsX/ryeWP3lz+D7/9Sm/
XJNxcIuR3+Yeyg7FEig6OvKEiHVIaf/m9v3ZJ10vRUAG47T6bwtfE/YVjFJxWKIRdUYgvxReeOS9
/Zsr+tPH5McP+mXN4/zRd5iaXd5OPDHp2N1ltu/uydWNVuncO59IRGYwDIE+uWuvhbLddM35rx+V
Pzkyu0L4eNMDga6Is/vPdy9KphE0ZeQc0N40hwX5+FNju/JInoFzaIghrZsw38QDZpl0mCnf4qRd
M9cQK7+03ojQybcNrmxiVo2pbvK4/OJpB2V/aj/jnar/5sDs/PvD5grJ/JT4kutfrH55DCw55BHZ
D/xpcX+DY7JeyURABFwKjInWcp5CD3B/Lw69IRYOwHCz4hBqkWabU76rqtgOJVuHHqojZWq0hZbN
uIszjYFGjzW8/d40Y3wUbUkJh5VF+kMLFdHneEbS8Lqx0m7bLDW1VRO1yCi/2amQq3lsy7XwBvfW
GPPPEud/rAf1Ywvqv/4/UthJTwJaR8z2wwN97ZX90ea6vJXf/vM/nr4Vb1X8VlFG/bP7dfz4z//4
4Sf/6FnJf9DA9nAQe/w+Gig85H/Yh/1/2HiAOZWGkuyq303Cf3StZPiPUCLPo6mkrm9HwCr7h9RO
KhK0UNqFJGjwICqWiP9G14rf+NMKim1ZKUd6tMhwYgQOUV4/v4NpHqQGz1C8M6J79BhJXBc5jhWx
6nehVY7fsmCGR+OF4aGv0UlTwsP2STzn4C0l4C2QaWKLlFVkRBuP6sHQwt9JvJjH7mr6JHxquvhR
7J0dwvuONHLrXUeT/UPbUb1biinz+ZVN927SSBhOOdSEKz2l3otHcvNzB1Xt3Na61pueFJ9opXsR
3PjTEhzTceyYi8cqLA7kyBPYFY96jT7HGjB8jV8jwo+3cxXcBPk4vHg2lFFVNza2Y+mlC6+U7x60
hxi6tZYmp3B29ZGlPftclb7brCsAakwNiwmaFiReq1pXDBDvchS/9TpzZVNtEitU5z4K0gotja8+
V1oMryGhzuSF+Gl3bMIseuLEwqHHFjnydWRSyWXO9UgjwJo8hMaJk951RTE860qxmuU6FTfMbEm5
GOeLRAN2SKUZv9aiLJk1FJwtTGHMHbWxhUWmIjh8LqR6jsTo3HaOYz0luS9erLqCGM9sdzjO7TA+
DOSnbLUTxx/BXPCFxzDd+cMLEFo5f3tPLYpRDsJFb9e3okhZkrjN1TuJsqQFJwIt/kByE39kECK7
cZJ6nwNcu0OWEQE39+d5E4F+LBBuAzhHRJLubY/jEfJAfXSTKNgMZjwR2Yt2uCeYnrUxeewnBMJj
Fg9yhQWrui0Rm0ck2S/jG8t8dhrhFJ15oPqMlKWgsVBhD+42vh6tEh3SeDH1JhdYtsNFewffKtPn
xtTdhgEtLDurLh4tyy+ZuE50Dxgv7muSWNZWNzp3CS7ILfbD+OD1pbjhjoJ/sky7K5dc/NYuy3JK
XEiXtVNl5znjQdU4pt87fJE74UwGeycOdPxiT207rsdQ16hd+uSeFMURw4NuPiPTgVnZB+5bKmn2
pASoMr0l2dwDS+j42nwRonnFjDWvOJdjQ2uHZ/BU9HqqvqO0IHcv/VQCtdVTdt/YDDIwXoPXin2w
8ggrkMtPqM3Ije6BhncNp0/bzv1Vg+/7iffAPxvJSD7MlXc9NE/ZqWDm9GJ8ETwhVKjzTe1Aj9nz
HwE4xCVSQkrUgEoYbbeHnGfqIvj6SHnqUBrSk0+PuAsbFIm15z5XdOwuqgwcGFNXndVcYtSIfLDI
YiianR5LsoxIZTbvSLSQrMK7CJ/8StI461IWCsRweiQvzJvvicmBodfmuCAyHEsrewni+2ZqY1o5
XZw+TkEwN+txhs7mhN7w2qQZgtXUHU+zqNQlh2qr8RUOC7+J9K5i6OVjeEVKBUtLFmzUqOEpCCf7
c1/6YBTHaX4Pi7R8mkH36oPtZe47z3f6PfHo/62AOdB7IwM1eZPEPhXrFuku6qDE93FhtBXWudJm
vJyVTrvL6Wrux7hF13dV4+6bPq/uUKU4TwPi41Oklf0pL42DWRPFIvP+yrtP0l6WG9tr5VZoZEP7
nrS8u2XMMNMzjdsjmO9uu6Qpv2Y8wtzVyLGfDXLPWxy2zjaSS3sIHC8FOloEl6oq0UsUesYc5juR
uPGihn5+O8Y3Sg7Uw0FOEjyVJuWFBtH2ZClvNFvfK6wt769/8fOufAh0LB5de7IblFSek5yaZcSv
XpQC8Regka/jQrwGwv9rAw6D6xqbzhq/4SljmM07zxmCnjU9+i0x8fk+LcfWbEkQo1MliuQwhtWF
TCjiV6WlrA1lHXS2sJOHKZDlg5fRzFS8uFsjynSv+QeurKX6ZAY0O51J0R2m4R3Ew/icT2XwNXfC
9DzGUb6Tdr2cWt0NN7FX2niFlXjPlzY/DwMUhqyKOkb7yr8x0cw9tGPvNgpbGoF91q9ZiypKOKJ4
sXj349Yvy3dpihoQr6UPjlsRE5C0Oy/ov2QeAUu8+slR5t42ae1kY2X58OHW6TfC/vytZ6yZEHSZ
YsC2cM06LdYnt92rXrlHYibvbMv1oRl71oOEesPkIq4go0Un8j/Q29XeJLZdYc0vc1MxtY5krB/s
COE+AAer2WrX3ixV8bQwA9qV9HZ3ddK8FGK2j0XTMevQ6XtmDWNxsl3GXyuOEPlmpN8dAkFapl0X
ucOjHNzsTFscQF/edBcNbhFyyW/91BzcqiRPjyT3lZkY0JYz6U9Bbd9KciqQwyWBwIGiSaddjUSg
b2q/z25spwoQnyAkhwGtomKfJoJ/7Wu33BM/ddJ51GfrSM3tvMF+BE1EBh3z1LSmCz/o4q2cCxQr
hde/OhjtQpQ/c3rGDD7sq0S2Yg0lon1saUXul3YMCG9wA+qEYepvSpD35c4uSdoz8+Kslt5yvpVd
PICoLAciCF0qaooZK4YpMPYpuuXGsA+ktqmn1WybijiFIvO+VsQ63vleN96lOX7zpsK0649sYmHI
zAhVwrmugzsui8j0WM3Zk2MEUI4o7Mi7k9E4PeNk/Qh53F8X5W0oe84qgfCbG4gbLIjtY+qh6IIt
WDprTUuSi6rbFTQC+yGDdfcKtURgCCimU+ZoxgKiuNINx47sq1CPZz/I1bux8+g3htwtLUFYhkHo
EBdZWv5OO43+XDNCOqBBA8ntY9fUtHVBIsXPucKWUC6j+g6OrXhB6NTsbH9hsnP1kaaHoov1YaxC
RQwVgzhYDwz3VyTvVPfsAeMeoutwQbaynGwKsme4fPkJN+10am2sdxgZSEYsVceG5KvbZahgAyNe
I01Q812psFu+2q0ShyDuzMZB5bkzZYuQoJRqD0Bkv3T559kDBsUcfeOrsV03jt7YRm18QcpewFgC
iW/Zb/FQf3PckXqu5lFERoFAh2MdC/Gm7EYiTD1rgwzowXJa58Sk3j3iwVeHlCiXN0LmmrVxKSmU
KVEnBJXYNV1Kft5ik3yHxOnBWyx5C3F23CEDjM7ViGgT9glQ2qJidhXptUod+xIP/Q0E5e9SEmGM
1z8S05rptCIb3UDhUDN9bkqtS5iTOFLhSL/poF/traVGezKyq4RaDk9dpLvPs3tt9qfTsBvldBEx
KgKfs+tGJFjJowEOshkZReUQmFez24Q7kDlTsnac6ZUfGm45DC7vhPJgZshEtnMJA70VTe584fvG
/+16fZWvmyb1GYOReaFiYR2q1E1orvv+Q4MVYBX1DUjGNsrvbOUXV6dh9MDJPLgtUdmBkbFyEjea
XN3zhobTqmkSfcs5pHyoYlt9W/A54MyIqjtnsuVF9bZ36nWhvoVJFJ69PoSHPCbpJwfuzI0SHsSb
rK3SV0uW3Zllszi2Sz5uTOt/Rb8bHvwqA87jZv2lc2XwikoaEGpWVdVKstFTFzlZc8Z5iTpZA0c5
1mVszHWUNbN6oMCNl6kisaTuD6HGE20pf34k9tAsm1z3J8T10aaywurkTPn8DH6gupsIzq3Ro9yL
qMlfiRRpD47PIG/Onb2DdGc7Y/fY+enVMqeJBZoTCW/Ez9jpmiim34AutRIszn1I137FkOaL4CjD
1xyQyNCz4FE/1i9gJdRvYVXkJxmT/6q0cdHOM9RfLXGP4d+A73qIbcQxZe8hPGuW6Ws005H0Uva9
KLD55NkMO+Ozj08+rIbah3jeDfGXwIqoMsEcb3oKIq1jckVyyKldc5SgZKahHu7ZUScyWCl5N0L1
BiWRtRFibmhSR90qaMavacrIKA+b8pTpqxkxG4Yjgw6JVgE1nG1y2HMl+usRum0ocP3gTsbHV3yM
gwg/4qBxjlnNr6KEFSsxFvrrjKnlBkMs2aDXfNSdDbET5tKIHZiO845ROV+fO7p3lgrm/ZLkmiFU
Va0Tr27eBQ/MBWLygAIIegQxxvR8pKGcaEPr0KHEhyQtcEfE6fwpilJDvZAVb7kMFy6FRPOyWpKv
HMZs4ky13KCqItIHyd9ny1rGRzjraFPbypGvlV9bv5V+2O8INW4OarqqSNOwaDCiTyWHni6Q9xo7
FWFAhnAhfFyIicN8FzAQ84lgqL2Fk9yQrhvD/VJo1l9wao08WSjh6iuxuIr6s2OhmCTn0a/JBUQ+
T0ZqGnwPKfiHLrydqpDf33TrCcPpJmSOR3kqTrmngdn6Jf7j6YBB/inoA36NHNJ7LDsWGoRqPpjA
j3ezqyGsO3V3xPvQvbaiHt6IXtVwHCPv2VJ2eFvPdfQVwz7b59xXJBdoFe65PcASysE/O0vR3IKI
LF/9IOqpjZQ61oKSFq08VOAQaPoWPUMqDuGiJr2qpDXdtlXFEk8kZri3IdKTpFUjJictKNhFOgu+
CgarV+CvmldzEfm/0W73/BV4+Py5oUTaNuEcXjp82C8toOP9TODhwbOd6c2rkpK9I68kEs0Z9QnB
nw8xZoVTrpYJIqAZzYoohmGNZdDeRrm/HBc6FY8hNpQ3sBrp3tPEehGigeB5Mc7Rn91y6+WjPjO1
ESiiQQhDAJJiY0dt/dDBQkJiUg/6G7DCAc6jh0bHDK45ewrrD14PEicw7wSvhXHavW/s72legUtM
EgSYaM4cgD7XvCmk888sHAzvhemTTQPQg1SkxT7pyLZ31jyXL73KqVwXH/cYrztwsKK+RHpQl4Lw
LrAE8Kc2YCcRsxBYYu5zv2vuKK4znLJEWRx0ZrPUtGyij3Hd6hB2jyoIJy6DPS5C/QlBTA/tfcnL
QwlLc4OdNwAMKWN4FlDpPYHyoL4qvWeTX9W8QbqPdISyM1yG7DhWnr1SZlxOJeUZesNlfGESTDA5
VehDb4/sJkvmPJf2lJ7CQWYwNHv2omhcLmpRDTrFBpGMdjN5rgwtS1zLJFdmhToKhCLtamkXBj91
5qm3wbUSYpZyR7xBUc5bmgfL9MVFoEevJQsNjYfOFe02DuueVAMjt04dcNptI2vZzX7enNnHm9dk
iprnwW/VdmlcDgZBR9gR8ow7VGDBZ6AS/onhy7SS/aBgMtgluTszJVZ2TbBe+Vk6vEgfLoxiDncX
uZO910YuAJ3H3HtdJJQdhXMS6HRQgMBTVJ3A6QhF69126wPvQO3pxdza4K0Z6YAkmUUo1ZTuxMwZ
nOsAh4B0dECd4UUBq2s+MnhbV9fegyy5S2QXyI22cHc6hYClkJt+2FYIs98tl/PFtGSUS2Hu0YH3
rZbYckc2jLDSuFpz1ZS3JDB8SqOsOKeu4o+1J/LTJhcP3e8Nzf+x/u//ixpEF1fzX7V1P3dkR/2v
e/328c0kP7Z2nX/+5B9tXfcfwXVOQ2vWo/eJ7O+Hti6MILQgoWs7V3Qxs8d/OagRIdJs5fD2T5jx
/2nr2rAkXaYhcGpCV6J//29hIX8ef8LMRSYkXRzUHi4VW/6uXPhh/NlVHfHKvRr2TdaFn4DWzXdk
syBc4vCs361wyW9GEbbN380/PffXdrLEUu5RLioU2fT4FBf/4+C1JxEYXwT5g57bR7tUO6p5Ax5A
jZAOkqSlvoG7tE5Rpr8UTYa/mrxJuq+BXzik7+Wj8PaiaEh/NExyXiMU3HSS0GytXGKCunWg0ZYL
00TJOi8j0x9G++oVbntJDpAcO96ABub8O3SyldPNumKbcvxXMsCmt7m2w+dSZGWyxSY9PMy4/ppN
zpjrJqVNDXa/iUC5Q1TvXyrXT3eQPTGlleWNmxL8RIt8Bp0C0at6z1o4XJ0zbBaySDcmqr8OhZa3
BrnLA8dv/0u4eO2e2U92q8tGskJwYADeF3vRZ2soiE5ZiDE9smRxKozmbxQJ+R4v4g5qs33sbEKq
xjG5D5Le3w0TJAmKlnxtyeo5Teljjw37sRztTwOuHWoXMvTKlhUgg75F3nQ/rULHvauaEcICnjLE
KzG6w54f1ED/q8YDKtWRKe81MKr0ZL+BxoCCHbo3QlHyJEWBUE+TxFLssMoPrL64iGin7T0P+A75
zgX/UU0RGpnxbtR9eyt6pHpLpK+kZNMDT0P3UAM8XnOYr9Zo1JGLj6m/zQMqZzPRmulUjFhTGPJb
U0cdXYFlyhrsdit13wMvMldlYmKvl2zC2awq+5DTY91F6AZPlAr4/qGhwdeHQMfgEJoJ3hB8ETIu
jqRGux+NHOJD71L3+pZnXVhR4UNRrDzOS2HyTeXCK43BR2WrYIoSToSZcDKsUCRRb2g2uEhxArwz
29FxzRum2LwGUYjqfp0mi/8a925wxg4l36vBLj+oT2mr01pRDlyzsWebzm/FRBOa2b9IL5kdEt03
Q9wRrnUqnaY5JUtZfynREvNdZ5rOqli6ZNlqRcTQ2oTQ6lZC1J7Hou/V9yXhA9ANI3U10Nc5xjn6
kLB/8gURoUS4WJhS7icJTHKfW0nwqVSWbjcW8sdN61XkpSlLdmK1+F5wFtpJKBfaeXgArT/v3DiZ
41McN5QitH/9V9MFHGoj/MuX1ncQhrX4tx/nMRDH6zijorCNy9uFF+qYyzFqsCIHMQL9wn2qteaQ
GTBXmfkyr6QCuF4jtiCvKe6csh6eQxy+yYpBAmZOb7KBElmuHreBopV6msdOfqtbYK2eU8rn3Ena
ft+V0kXiNEbhznXsWa8c04LrXS2zsh4DOjg7PGjLTW4gkWKPsLXD9AZawMopsuSpt7HiU7BbNyRF
yF3D/5y1ilP/sacjghoTauuuWCzqgPnDi/N3Uya3dE/3jbDcXT9j6CvJDz0MSejceS7Q29bFDNfl
cGroYtyGXZqvFknnz+aYtCkXqztkTXupvMXct5n4SHIcD0ywSHfr0HEJKOznyvc5IMVckT+XtPVL
P71HudbtJ8sEN7Tt7G03TvX74hHnOeOkuIg5A+laztF4G5mclEJSwvG/jHZ6TSGCOJtlATrIpZqH
Go+Lku8+zeRTYffFTUj7evJL2gsYfjpnI2VlvG9tPV+ZVz5ZaeugskreS+ulgzpYYeBdY3NUn/ME
CaSphv4hdCRNqCRllkPXZjgt/fKtcVrWD5w07tUoFG1Ce/bPg+PSHcnpzIWTFW/HMubUTrjKvSUA
gIEn6oHA1GP0CNuVvLHBWkghp27iIBO3w9fOKvuLGXuTbxPsrisUsvNdoIdkPXe1LVeZM/k8WZFG
7zbE78GQEXFXKSKLA0brmMfEuqADASrJtj8HRZ2gKhWMLaaR3zDxAMdjTtIFdnZ6yIe+sMt1XaoT
1huAULaXnHpPfWd3Si/42Jp9ods44/i2KHOEZD6tmbwj9NXLgqEpNej0Ntbc6g+k42Am4hzppO9V
UI9sEAlmm2grm2jAD/F5SobHdI7zL9D68m3hO8E3kch+zzliwi7FC7NX7QAHsmkYSmyHYQgubZeX
zz73aT1MEsl7EVUfoNjcezO10fsMsMf9ZNqSZbZbqqTb1B0cCuY4wIgQVV1bZRbN5G3e6OUcpwt5
kL14bxCR71Rpln1hy+HGT8PNpKsXC9N6eYVL2ih7Te5Alho8R9LOvyoakT8HDGfatHsac9u9dqkz
l3QgH67G7GmyTwZk83NQPUQO00swSHqDDMm6J/cjukwW/pncMN0L3J3AKwQA4oo0aGOcvvERcFu2
HQNXE4vDzqT0gEQ6jbmE5BwO4qP1J5T0tst4FsUpyoz5mC5hskYxAUTDirxVSsL9xrYLWJDFtF16
rfbBQLEcxXZEAxqAYZ1MsEFV/Bw7Ybxtu5EHIBpZnvFUrsbONcO6tJbksZya+Qqp2wHF36KRk7tu
7u3bZEorGNqdXBGdl35Msc3xvR+6c2ECBwW6vEZxTwCtDHa32ID6bHy6LdyhcUst6KzJmiWZYFo+
RwUDT7v8nezMF1u0VUT2HVDoyDSfR4VCPawrfehCoKaUGij/Pd3ta+Re5IaGAcrpBsJMrr2tgMO8
UZghD15GwBG4i3smEby+pe3eTdx3ujLYAG09TO4eSHW6zSc/3uuASbTjaIcXntPDDeWCAbJ/vakJ
PYAd5nVz76VNuM1kZ/CuV9H4GvqiePS7BeFqWOTfzaRotrHlHOUQjl8yGHLM56eavqYSNewWnGib
2BfRd5Es/cFTc8Dor7CBN2b4SawhUHTGU5ncx1bIzpnHgzjRmcBPZmfOW8hY8XYQ9nRHVwtJFxzn
MOX7ptlI5I8LQmzA5hDbPdy+UKobEQzyCVNv9K0wEaLupgrKPWOtNGdhktEx64Q6xXzVghYPEaix
Y6UMpybMJyKeB0bDNCj2pbDlMwEA4QqbIFxnJiHhOrGL+IPBnhhwsYV+zU2oynuAZdYT6uTskCZm
vsmmbNlXYh5eXPigNzQBKwvj4HXYj/5+Z5ueFmQnBHk8KsEvkGfz/K3PvJLXlBHdo4aA8xiCleY8
nHrJhtK2X4+U9jvS0sxzMNfiEiVVdUoiKfYzBn56BozHMdqR8P2SuiTalaUoYMla09Mwlu5hqNLh
wQqdjmrSAwRv6uCMYVjedFXgk5SIO6kF3/LiuKSx1xJnQRdfNDGKt7T4ST1qLTV4PGcueEWGO8xM
FqazQJbSW4JVFgQOWtPsQkMDbTWdUGVxslj1dB0LdCAeD1OuovIShX6yD0F5YyWprl3LGZFJZy1H
v+EvqIJKfsasCpms1p3zhHvWI97TsjN5zxbB/tbHPjHROXPJTUnO97pA/cDAvwKx7VTLDvbdtWsI
MdEvwrcMKDkydAlVDaD93iYBZdeCOv6gaAGo7NH+X0OoJS2tn+ZqX6pRH5t2MK+8tMujFRqqTbII
97nmQwJL2NuMIcxWlTXZr7DjCVbU9mU0YpjeaseegMNOaVt8sogu9RFlLQwb2p4D3poZXjbCEdQT
UeP2gH3S7zu49l4w4Mpp6uyxdMf4aWqI9lrouO9pm0E2WEY33ve0kR6a2ZavfR26T/00IladtQ2m
bolh8mVpWn2KSyv5mEYvO1me67y1rt0RTNKmKbej8aZHQYH6TTsMSOOxptFTplP7OGvJWrG0Ngs0
hTermuraGFprzpKtjdNjPy/FWx75Lg4j4emnoHTJNyb/2HW2Szba1faau7Elv1Ljl5kzYgFVPPeb
sIzhfjDbntNjI3kINz0Dzoy63WhkkrMngQnz9rpzFshNzX54U8ssJCTLaRt4B36CmsVi5IYbywfz
2vhQWeuhiY9t3TuvxTIm+0qGzTPZX/0bzvuSoIKmfdTKfUgtTFWIkjaNCYKbjpiqTcxziAHXE2+Z
n4y/xRUBVB5cu+dsGawX2dQq2Hrh7JJuOU+noSMaHCRXfWcvjvcQI7wC3R1P0cHNim07k8xCRZ3c
TrY7HlrTL4eer/Bt8OPhFsGvd+8mjd4xlNtL3Kl3qZ/Np86z5aYf+uyxci33HHZO//tkDGg3LH70
QUFLj9MvYA3UetGsOH50jpPgNxI+PyC0TA+MaSIQJK0uWa1tUOnYmMPvUH79ddKX6c61vRi3lp08
6yDsv4wZb05hVd2XrIjjTTR5zpnAlfqUgtB/YDL1PXavuebgqh9bytn7oqRTN9E6/+Y68HXTeLQP
eIW8p4V+8mmJhdgCYR6fc+lkCBTz5GIild3X6B+3s25NtS1l091OkTvSyQLR6sVl8jDQANg4TVo3
oOXH5r7nTPrezrb7kKAJ2c0LaAoT1PpuoJd7ZKTxpRdTikMqsAkdSEun3041sBVGEvYu77vlLfEK
NDJTL9Z54VADkavwQoC2zZSfLkbh5eFLSkuOIDLWfFgS5ugBzHqc6Zv+llKLXaouXrYLouBzTwDT
p44qj1F2AeJ7AZV0AnMHIN/wyA+G9d5v6v63NNXVNlq69G32AvQeILHoJVY0zWm9Y5sbZt6ulF1l
A9kckGTInhKMoEaZYDN1QZuwNEl2rvDQPRfE5pxUE2XPVs1zZRKv5CQ4VBvGCZjdEkfe+6GwSXck
asAa+uJpmhv7nJA4990dJ3jv4C9sCERZdxEle95qRk/9EcQ5J6xel/pGxAZu4wJv52DxoNEyLQZL
rrouh5+Gby/e1JbbfOmmpg05d03yU67m5snXNgH2VkJvxf+dxTKFbfVi4JS/jZ24impj1pcbA7Tr
fmH1eyYwHJJL9jvVBSyfqzHygWmKu5HzFU5C533wKu8aGrjQ1vXrN/AODc124X+pPZo0quzq25hK
DcwJawd/UFZucpLsdungu4+hxeotPQ3QRg0GzogZzks+dG992Q838gqtMXYQbQkTLA4olEHaXOE2
TEPkqo7T5kX7qNoRB1iPqsjVOsO5irhq3bHEYzuo6+qDUCtvukC0SBQZtiipFCbxedWPsXyuOG2A
Esqn9Psg3GAHfWXeEn4xeauIyRXQLeQiX3LOkJsYnMLB+Cl8IS6eDMThd4CPnRi3pAU86NtZDMmr
Habyyc8qHqAUqxntH1M/znWAEsCK4+rZLdvv5nc8UOvP1dsCAuJ7TQ16TJTFMkTHe5OUbb1Rg4X4
DcxQHtPYknUO12oGMqUIkGJrXo9dR4bClVNEMfbM+L0+QYf9JKLR3sd9at3EGVwjEowYd4SF2lge
xNWeyPekDx671Lh3kROVtyLGN7Ry3CswaYryo+qq6mZECXMk4YHHAWiaOi2l7qHeJs51myIet+4I
tUCgzFZleNOs5Wbq5+CcxnOyoemh9zKMxHvC4/PeSAQOaNfqkp8v2hsvIVRz4AS18wqne8xm/x5X
mdyzNzOviyxmwJ0EKtpbCpusFQIHoSl1p2xxd+0JvQrw+iBmmhH/TG5V/5u6M2mOG0m37F9p6z3K
AAfgABa9iXkiIziIoriBUaKEeR7cgV/fB0qrbpUyLdPe5ln3Jq2UZcogIxCAf/e799z0yskOF5vJ
/eouhimJ2tW5MfQ2rHxrOgIAr+EbpeF5nPuNreP8BQw6NZCBauUDR4Ocwsw4C68iTVD+ldcdeieW
65T1zgbrh0kV+cT3Mg8DQA00WOx6fAwlD72qPTstWuLaGQTdaNEodl1bd1/SyTbvACNhwZIxecLO
Gd0HOxmaO5rTIM5RcHGLLdO+M2sD7B/OWO88sN060AKVngRUxjOwvPqcOImPMxdjXUmqJdqIku8p
u+H+irjW9VuiD0sBrAdcoxmNSa1mp063kTN9C9i8bKB62es5EuaHwZ74OLLwf5LcmVbSo9iYx9HM
fnL2s12UDtGudc35uoT19rGgCXJlpYV/p7O+fpgNDTN2aHC8xwZxRUlBAsvm3DvVbp1+AjfLXVBX
8N2ELYlUI16R78F8c2UmEC8ynhyW0ebImQvnrd3xMOsrqGD0kTDuwbJphfHJ7+mLTScMsjTvRHya
xHm3qc71gxcK7HiTbxz7XNYnozKr9WSUzZtJXGFDzW+y6QpSVHPQHRjXWYwVzXU0q37XZrDGLHa7
04o/uhB4Ycbk2lM7stegQMo4raf1BMZh69gx33FSvCxd/SncD1nTWjx4KDuw8qB7Aa9lvZBCi3CR
0Y++Qrmao/UoU8KMOZCilYPp/zmDk2juiN1o3E/s78udAUO8Oo/Qo5Fk6wqnXYH4AREsi4zPZB67
k2/C3WLPjDiwjuN0fMRa1SYs/WXyFHszNNI8wJC5wmrkqk3aJMOP1Cvm/Two+ZaJWT76OqisnVfm
RrNNU3ymOxekP0pIEwewtHO59B1jAX/sICVkuFYTShgyP6g/D46dfh0Nc5rhCyrTOeoFc3Gakfqf
E2cuXxs7VHsjLZurHuylAcptuge4IXjGBAvSW60Q4uzRwQCR9V9cK6nhj9BvSNVQ8GZUdryrJ/gF
ie3Zp84XxQsV1T2mM6y5u0HGZOZLK0dI6Y+8CzOb/VqDfV9C9y7Ogae+H/WG0oz5GfnSPfmN8G72
BKFwkyrqISIoQB1Bftv/QDUgmB2VgpW+2bI6MLQ2nI3hqfaAhkxpKRF1/Zr4kgcEEup01xeOtx3i
h6T2hmETlTJ4zrC3XCJop04m22wjAMXdhYInwQFzbY2JbQYU5se0BKzjSWOu0JBe6YwvDfK6NV6d
Va2mPNgk3gQHqrdRajdj5ZfZxrYraONUwd5yJ+gf7EnMnxHO1YOBcWeCwoyRDtLivu9q+5ONm/hq
171Dw5KhzF1F6cSmA6V0BeIxMZcrX771dRZjDZL5uSeecmsNkTVIkFbsnBtfs3WxqAk3acPF0Dsl
nLLWvWeMrxOrRuR/Dte72NUpTKeEWvEAC/zKc7IATzdvxENFqb2xjmoRfYRW7A3rxLGspyhE6CWW
YhZPacIqnv4ABuhAzi6P085dyyBmkNKF7d63ldU9NlFlPgraxK+T4ZYp8Jmk+TJDHbyXc9owy1Nz
fWd2BnSapOzS8pD0jfVJxoE44/2gwbHAp0FGZkD/xGxaeKd0MsJv9M7O73XAl2eL4YjZczSbBSw2
w2KXE93VbGTH/DNXG5n8Mk94EqB66mtn2uE3ZZC7jwVfInyy+WfPs8XRtvr5jv4O78SCH+J/U3Rn
7u08gLrA/OicoY03QcWTjyC/8UkaSf2gZeudNH6hi6P68Uh6evjRDQ5WBC7bhvjWQqZoeq2/yzSk
DDgfNswQebruJVleWgO8E8m2YjN6Vf7kgIw6GQLa5pxNw0eZNna9niEb7evcLA+p4+lyo6Oiebdq
s4u3dJZWj4xIqN9L9Xw22v6Dz+ns21x73tMsWv7Rch/qorF5jfrFAowTlnVH4nXGqYc2vh14D59K
1fXfeAIV/mpp8Xo2ZssO12XRimRbdfEN43T3WBH8ZXvAvaVcOYPjUN/U97fC9vJzbfGXrJCK52iW
3k3qEjXBnIrhbUZWWx7Io7jzB4qSQo+pBHqwyh8Bymb0AgWpqHHzVPMDpB0+EQ43ADsT+cByqzyS
ZYwfO7iLa5FpF+Rkw6jhVO22ba14NccqvBbjJE/8tQjIeWN81SDb1vzxNQ7HbGslFYSgYPbvB1qp
b5MuPhrL3RTZgDEirkA6psF0JzGmPiXKVvu28oh2xMHTBEBtm8l8ce4gXR77jt7mla0AgKQ4EJ9t
xe8VSI8vz7Tg2nK+1xisO7UbGV/Z0AwoHAY2xGPPsf3Niyt5C00Twopj6/bR4UDPJJC7JFV8mM4r
aBr1KRldGzh7EHUAi3R7Ybv6rWozka3qvnOvcSS8OyUr50EjZ7yV1NzSNwqMr2fcZX0TD1xNyowO
3FVJLiSlv45MNAV8cOJHTVcSdSYgBEjIVx1VVcjuuKRIJU8FrWAiOg/0sn+2Ix5ZVEZxZIlRODNL
KMhPbFsIrFj1C/vU/ljw/mKDppVVx62/MT0qp/3J9Ku9absOT9NIs7Tq++JN2iHhnXAetrmc/B8j
1tszRghs+jzuv5hebLY4k3LfWAO6CpbENAdZL2VvZc8DE4ywYnXuRIeUUzQQS9jmIPfW7nvtOqWD
5bo3joRpuSLRSBI4q2ASeu1ykwu8pta4x+Mnt2TnA11XPSeedj4qNemvCcfWZ+CnA6XY5Hm4/4fl
cJFB6lcAu7R+azL2lyvuCpCxuOcx4RXMeHjkuBmPg++xh8l6mwdN1sd3yjDNr7lNWwRcHzL6LF94
cE1lII/0XZv0ENnk43kG0whX0zo4ubhvN2kZVce2c2sHEoqgqC0N8+lz42eCvU0c7ISoeeaXTdxv
Q2lW4boKhRFuei+Z74YEKAVHVPLMXiC7E63qhY13avK+AfmkDVuabPzwy1Y8rURSA3KxgolGniKJ
2xVCG16lNOYpRsWBXJjfcrCbS6A1LwOtPzpQ2F4F6wJ096d8bNmjiDKD7OzpatWHhnFEZC9wtLfd
8i8UXzpcpYn4xM7WzsEqisJbF6XrfmCSK+9rNqjEzQFNzDmPy1VIPKg79mZhZRtPzPoVvZkeA+q3
nkHGwCH3eyrXokD3a4f94FYlZrbRSW4SYh7FR+bgNgYJAKwrzMDMOnh8wp2Li2AdIA6f58K0TjiI
9f1ksvG2rUUkL+KKiE0rtlR5WnyzRoovUvXgGCijcaeYrrvXgUP4aQrL/EjYywBxZ3UbNTXjd6t2
07uB48Q9xR7cv2ZaYDzPLC/0TApMgvwvuGlkpkAZm6+m0SS0psXZHTkv2tt7EwMlZrcuWdtu/xoP
9fzQjmN5qSAesUYn2uuIsDjmlmd+y+sRymHtt5diIHhLC0jarutEJRvY3vM3MG00soPOP7ZzBWhw
gLCrqiFy/8hw/7fZfv4/jn2SxoTe9Y/+oPeMdoWPX91BBD///Xf/T/AT7oCP4YwYtzTx/fziEHJh
MAhs1f8JK7OtfzmSPDS5fdJXiNf8IHiX+/h//U84ZktQWtKgapt/oM/+C7FP6S3R6v8bnMchRFGD
taxDJQHUwDEXH88vDqE4pAnBtSUKQerSsMAgrMj4uDh2g9Bz3zts8A8WjIIVOHyTG91c6rWZTVLs
8EP0rHk8dYFYlqyzkfsUzoyGu9ungQ6GEmFuzXrb3cSyyY9YGcevxJ4426cJ6YW0j3j8IOEjK7IG
4jk5Ff5iAErMxzC37F3ZN/NV2DiO88ZhlV4O/BTEjZhk5KC3ZqYORlm336N2BOKLdAVDpmCJmQeW
f2/2Q3KJfGFtJ+Z4Dv4DoT6cqlunL5Jt16f+GZBRsKYKFNeQhW8vTu3gI2XRR79WM5k7qwudfTUN
5pM3J8k1qzHy8Ml4mwIPubdyMK+eDBLmG5MpeSdmrxRrO2f85InZvudQGSDYRlTaFX6D3ykap0yt
Y2cUK8sd/AdOf9FGNnV1g0dffzWLvLl3MvPizBzm4a3NFY4U8K+Hecov4+idyRc8xAZpGtcZbl6Z
UUNXtxueWj3sebwvgI+OsHI0NYqQNXOQjwWOeV8DJEHNkM+960lNe94YmhvLSR5AjZzbbOn3RNzf
hCUrgJVfkVuJiymAh4buxSxDEPTdsI3pbmrb8I1icfeYzn59w5FJCSlsMQnoC6hXm07dQUvDZL+N
qLM2exvjus/pckXqOTvKQnuHEbv/IY+G8dNou4gCNfQn2Iozo75NAsP0GOor0RjfOrsP10PmQrTi
SutWQ6m8z4rJ9UyLgFoVUYySwaBBIxNNxB905rLk5Ko8sDsD61u5cbk3K7d8G0Er0ABKbWZumenX
tq6+YGnxvgTB7O29oswei8wZb4g26JWJwtqPkHYpk8a7pDkQ6sZiC8fj7RJWOmITScigbWzjEJgq
27OXEg8eI32Cfs4ilzmRK9pl6l9Z4XDvl9z7cw2Obdl56DXdxRZNdW01rSC+ei+9J2LsbYGKj9iR
piedRPpYqM66CTBeJFzdenznOKGgmdOMYM9dugcA1b9RdI73A9LngW2s/dyZPgKkryp1BcDbvuUy
bNp1ls4oMKM23OaeilVKo0JVGEsFvNeh82bGNrMVekjI5HwwyBHvaVXiZUqSgbdRyuLFgWGCO8jg
o2hYGMfbjpOnsyoxm59nxo+1DXL15KUi3BoJdG1uFxbaHK1q9xT8ojDPTn5TiGOXkWbum7ZGX6+E
505PEKetk5P1IO4cqpAwi4voSolBTD7aSsVuZK2wTbTHsRCCjXEuQmpElnbYyuJFUfjYz5R3Ibr/
DafdsO1DXZKcQzqwKDM5ePBpm31vqJoxnNkAE1d9iQsM9GPd63CFnmDvfJcqBM7ueXIRKVEf3C/y
YsWdPpPHjDnCiv6Cw1jdxUVevIFMIwTeh9Vor8X0qQ4dzkVubYfPVlsIiGAze3vVBOuM0wVnzVpv
EtrtNwlpwL2XWHy3JlVkcJ9y9eAPln6YXFeRmmDdua6x5Wy4pW6xIh8oCGsPHvTmC3tTLPeZO54Y
1ZubJYPilrie+9KwZ3yB4lp9V3Yd0SOqK3EIZ9948rAoXEcmpRcsNgY1n7VKzz1YL8i7XkoOJ+CS
Lm37R5nh36ksVb+4lWltDHyELwlmDS4Kli2UV+Tzlj4muUudwNqLNIuxa8QKMFjUsXFrOSwaiI1P
jof+SaE0oU6gTNMRR5p9iQrqXqdC4r0IeqoKUA82EUDWY9oOwWtptN6u6cTw2FBLcuOP4RHpw3tN
lFXsSQnHux5l817IbrgfJenzyevHnWOJ4o1Ff/AW4MS8kXhJ9kIbCR7pTHC1y3679ErJNU5IcWyz
EamvKQo8SHkWn7IpH0716DQLprU9UtNX3Gogk+s0S76JVvuUdXcnIk6Lv7/fkRt7q20olOtp8B4j
qMpRQQeYH3vRM6194/eyMxWBS1vv+5b0PVtdQZJXTjNQXbKukLtaR6mdMdnoFj0ZvUvtGf16XugI
COfQ3nxIliEqw8FN2RwVHNYd+7Wd2hMLFOPOqsZDEfnlyiPuqo22PXCr3iKFlusiLZoDcR32qa3V
ri3y+WRDW6rKVpbp2vkpsxlTUXp6oAvpwPgn4kHvMvpzjvGAYLgmDwAFgJTKKm7bN3NRmseBFdza
V7auqaV11VO7JBEGR8xb0SisoiRFHgGsucV2iKrggMFwgpQN94rMR0B6/9HD7rbK8QjdzI7nWT3Y
2SEMRP218afixMqJtBTX/DNyEcKGrp27GHFrQzSl3lhdOZ2Z9Pe9Pc8HiTtmX7LsfrV0+IE1kP9s
+B5rhHhVUDWJRe3QVwh9yPmNS2I/sCAxaMdA0XQzkNZpZT4509ihJOO6usZeOfUrODsDs1FMBFWW
2toVDCowlE3jhw5beSJD3L7w/Wgunl8PBxtJn8fMUH0U0DAPvqi9U0826x3yJopiXN7CzFrE1Ili
qLEIn/gACt5TsWTxs9Z/Z42Jitw18T0L5BT/z8Q2utMWZsK5uuV2aV46LLxEMs1xO8ZRTYudMY71
TgkgfEL2pLbYWwc/CsMma2oYwU4xklHUbbeLzclXyZZWHSr/JFnhY+mUxqNH12Cyxd80Hkq9LEoZ
iSWlWRSnPHK+SMq7nCANqeUij+MVt4F1fGT9P9M5Sjm8ujL4tScgBvkDeL/ke8EdZ1rFjlSwyRpS
vrZMPtlFkW5TjruYXMmRk0rLd1qQWODPnn0owjjZ2SkznlEl5tYOzGTdEAk9EOem5MRT9WOn1NUA
CFKSF+EFu2Nb6WozaLwfvqmzVc/RYg1mNFq3ndIfKtH6h6rFR5e47ZuXj++yhnu/cunlubLBk4j8
Q3+YvSRht2eri2e3uFdrczzPjmg3VchCxutiOldwySF9DPbJbvxnMasCTUFlkCiMpXW67DZxxwqR
GHK0cXO33MW4gs9kENW1JwmyDytlPGHE6/fKtSR2jlJSETuFH2DO7R3f0YjM8mzzMQzFc0J06C4B
dXIzQUlTkzj2OyMtLOD5uXyKvKi9wJTAp5mKOd24Tk8ZCh0C0WkyvCXs10fHVnvNV6q4SPsadXij
MmLAyVV565ZbFLTA1KUCMsENnof2NmoMlv1455O18kEJo4RqQjFk0MGYjkZFLafytuiZ8S7twbBw
ulIGKIfKOXu4KjFba6hWWlpPYR8sSEd2coMhwoM7Odk+m5T10iOZQwam5SmTozomeVjdPJVP1mqQ
qIyUFRvJq5u0/aFRWf1o2jbYVZFEVyfBveZ7s/PCgw63taSPeVMSit46ys9OiVUALwx7Yr5RXf5A
H/fvZOfmn8asLKiwBSvTAI86zJnjwq2cnN1CiDiWY21RkBAGPGpwV9F/k9kbVuT60pn9g2t2O86p
5oVcUbr18/azEVabRlEKPE7Gl3LEGkqkyv1kU26zkv7S51YxtNTS6yjqMDXLLCQXuiap8dZOgkYK
UwTaQUGEigsDekfRw0qlWkE+00vsbkglhPwG2lu1tF2efpksb3/MY7+ikoXzpyTHb3Paglv7ZU6j
fB3fjZnEB01Jwcqw3QyTQIDqHECuEZRhoCQp41MTCP3ss295nfyxvop4js7+JJovwEnTLbWk/kBf
roj28cDqHzbpvDNdAyHOyxCzKMy7lQg9GL0peqFGhU/AXAcORwmD0uNXR7J74lBTjutQ9OUelcLZ
OmhCvp8Y3/CnEwo3dHU10rw7FK18GZrOOhp97W7DJrBexTB4595ykZ2aoNpAY+FLm7kY2PMso+/Z
blFlG38+trHnvXFSj/Yu7i2Wj+q9Gt3b0A9PDieU1ZSxRSGNM23cOZ5wm5SXMMnmSzJm1JhkPlWW
ptWCiM7YtcldrltWVAtm4UP0DYsrw4nooJgKDoVbPBLV51kUudjUic/uro3leCEnPR3jhtPuiv5V
+VBV3XjtKLKBKsrt4G6KM/HdHczko8ZpuKkdw9uCJRaPFap9sAIagRND2ua2mkZ5dvrBOLhk+Dcd
vfRsRsHdzlvsfPr72KF8xaCiy8HFzdMW7Ot0k+/GiNlJLkECm66Yu1C5PnXsRdtTZ+UCUiWxSOqc
rs/rnJU8oeMS7wjz6w3GTMgmlVjlI1/04KgDrY6UDbGXMDlhW+yTf1DTzFGwUEo/xwVLO7AyPvwN
vykH4gsQRy7wEdLr+PPInf88fovlJM5TmEN5WgMP4Y0UO5NZnmYFFcdXeznJoyhyb/KX873186Rv
pmTHh+X8rwy/vwTLTED0P6BdgDlhyHHzrtrI8K9dqvDk4x54LpYBo/05a0hOZtyMlhHE/jmNDMtg
UiwjCvZ6ppVwGVxUC5OikAr4QAz+eWsPDdjTmF1g8HPk8X+OP5bXlvWBplxNeEgiDZKC3U5syPnA
My7cICPzEwHNfK9LMgUwdGGFlGN/c3Sb7icKOWZuYsxb7NKf6taR2IDrR0MkyYE9UHWxAX8/FoPl
rKuEk7Ix4aJfVRyFCVKXDTvfpYWKwi65gjtSr2Myoyzr+RzWcWRaS3DfXQ+kYm6sXr2Xhs+ANfUy
MmbL8Ig8zRyZpW12F2c9SgFDplOyKVY/J0/5cwoNloG0tuxs3yxDKo6qcjdQW3hpmGCxTtI9sQy1
xTLe8kMugy4jLzK1fMmXMVguA7G/jMauEflfSqf5ors0+yqXAXpYRul5GarLZbz2f07a8zJ0x8v4
HSyD+PRzJs+X8Zw2TYozl5G9X4Z3vYzx/c+Jvl2G+3IZ8+dl4E+5SRchuc0eNyu5sJ/KQLaIBPjN
vYO7CAeiH4J/ACxaC4Lzz8IXZ0OCccLz3AXy98sNNWi7aHL05O8R+J/mV/u1eTdem0d13z1gMCqv
NEL8/T38N9r9T6nNMp0AwJoT8M33fnvFxcdagNoP96P0w695BSd2TVh2usdrNIs1B8OF0t70cm1F
WfzVcmcwf05IH7blantJGoe7MlWs7nAcAwGZQ2Lfa1Hh8N/Pbmh87kg2P0OT484NrFphWHAW32qf
Te1BN1VzsYs2O5EC0kcezHzdUAdW0vMfBzhq+5HTFLNzke5yx2p2UwfAwoe+/SZVijdYhflxbFx/
30+5AXJatRcIVRl+PkycYqnTOY+c755iNsDv2B9SCDsLPjzVSfvi4LTm61iI/PM/vKlLjvA/PkZH
mIFjyaXywZHS/w1b1wWBzay39Mv3vnMqs+TYi9DfupMRbIVg3BKB7d5Mh7U4yw/y9W4yuPtReNaX
zo/jcs2yL/qYxkGdityZzoZvdTcfUfaV8x3FWPgKBtbR28EMZmgNtnpsiz4ZVoVRZ3w1Uxs2hTdl
B7NHO1iFlEx7GxkZHv6GqKy2NDM6JzsQIwdkukjf23nAQlX0kjX0vDyP2PDxaEp/Pqbmn48s5+fj
K16eZMHyTPv5hv23Sfr/LyZ5JQL2L5fNnwCNn793/f9YfYfRmP+q1Nt//L0/VPrA/BcUEt8kX8gX
FN0dyf0PPKMPaJGLRPpuYNkm/+R7++9SkYXcyGIzMD034CaykEL/rdNb/3IdgsE8EjyfFKzzX8rx
Lqe7X69y5H4uEsmlymPW4zL/z5uV58AIygnT7dt4yHYNT9XVGMlkAyvQx14+HX95e/7iuPmnmyOv
51gWp1CPdwT45G+I6FTokNktwMlMhdE+Eln6HXdw8zBaiA16wqFahOiL3K0DsyOCMBKWQPQbXjAv
5ms2fzY+BMpJN//wc/2+rVh+LuHTqkLBighc77dU8eJH44YJ7gB54K3nFL8BEe6vQBrxjHBOyLr0
YmAPhsWf60083blwIv/hLL7cpn/7LNjKYC80hSRR/XuyGROZDHU6+PsaL/2eXEZ48nEYPP/9r/oX
n7jDr4rtw6bLhB3Qb584bzKr2dTf2xVFDpn67JNEPqiEObFRNH38/av9xe/ksgey+cRdAWf9t+ur
Fa1l6tQP9kHpyZ32NXj+gb6wv3+V3zPhfHo0GvowSwkNYJj+7aoSaCaISSHHixjUWMNUuSrz4ZFK
6W9//0J/8ebxYJcUP/D7EMz/7YVcY+YdXS7fMMGvWRjpD5XA1MooVrXT7B+e63/5YvJnfbrjmq75
24vpwamgyDnevrIdQoc+KkM8smwuZuLVOpWHv//dxPJZ/Hb9gRngJOhwR+A+9dtnlaBxz60XefvG
cLJVO1LGq7zQfMytWMJFirNNjb15F+MLOMxVWu0sswi/4q2lCbsk/YFZu93bZTFubHjoFr0U5P+l
7eegiXHHIHMV9caPS5LKQ1qyrWZK6ldtPcfjqlJwLut+JtPgpnIEYiYf2qJoH/7+d7T+4nsegA4X
gcBi/efrUVEDqtwp8fZRGYtj6hr+cRpdWrtG95MxlXTLhd2xbKMfnh3X7M0z8Qzpzv+Ht/qvrteA
Ozcat4d0umxhfz0istNySqB2wT5nH3NEBbgvTRkgs2IH/vtf+M+vFADAxl3m2z6tFb9/pgjGnSI8
QFl7mBRrPQDVa6viDeSq2P79KwFq/PMFS47AtExBpIEC0p///y8n36awbDTyzts7+Ci2qEPJApbR
NxxN+lEaXAii6Z/xHhXbdOgJJ/S+SY+lhCNAmT0sUjrv8z0VMEuGY3DlE3A9990dG/9AUKDP1zZt
f09B1zsXHJvVOaOlZ1+2lD2vamtI9S73A5eAFJ3eZuENR1hB/qFGaMRrT1zLaLpm07aN2NpuC0Gl
GczcokS3csO96gV1uAXz9xCn7rV0LU3wOO4kKqwW+Of85BqaRfpOCLA4OmQSt2YezIcpgHhfjY13
zJqeVYM9O1cl+MXnjgSwERJWcwNkYB+E152VTkyDvb3Nw7rAhJ+Azy8syDl6qJ/RFGt0jLJ+9yPT
X0GopWovnhpGmmpBapbjhFpe0qpn9umTYdbN1TdZAROUA8OQtZqQj1Z281rrMbwjzxy+xMGc7Ed0
j29AOXHShKb9JTPSz2UuApJ9RiXPad9egQHa914Rb3BeH2zHKA7laFGu2o6ReITEgSRux9I/m47d
XecRt2fUN3LfNW2259ep1/6IdynMGwzSMxXQp7FKUJm5S02XAL852fiMiAX5zRARYMC+ss8bNX7n
yMR7gm/zwnG5ZoM8WASSw5C3zBYDwSyn+4yCP764jp9iOnXrjqhEawYvHNtQ3slW9CSwC+c4DKQn
FYf1dStd59KMsthWjRmynoIjxppx5tGPux9T/SrNnWrYZKOfHEQUtLvS5/MW3cjbNxqd+053uqIZ
FXDRyhytZOvUrvslrsV0Zv5xvsALYH3N5B9fR/CKVHTAbAeBOpgdCdSwQ2hunQkpnYaI4IWAQJ+/
0PuEjIik8a1x4fqsvNDlig9Ilj8xEWVE+mNVbzEMhKeia9fIyd6POSLBAl8zwQrOzjtM9+wKaNNI
qXa6iKxoTrPsZcXgrSa+QhGLGSJZe8GSRay4HxRfpe2OwSqqCC4HDiyvNmCHZEfZcGBTr+/kbGB3
TZ0o2FeEQlrMF0Wx8cvwPht0RN0Bq8IVVkt+3lgR9FsWPzJh/JYxKpSRzBehWprNreZEqrelR7Es
nuxSYepLpp0mWv3MgKW3BMD6XcfPdlBGFe2Cpg8OvmsWfL6aClqpuT5yYjhIy/kgWZcSlRlt3zvb
U/Od3GizTQZsCC0dqW9BGLDdHyO7ORoWKBBppKzoxEjFkzUT4jCgXWxo3eDdJ2+LJ7REBNETgZey
xXzquBFkh6R4N9sovU9LS4G6bVkF2Uy5aCAKkHVqEqrmI34Ksckc0sTIt4qStT3qIxHoNG6/jcSM
HkTQYQpQRgHXafC3DSysnW8CUAOPtdMjB0Q9W845FIij2kOxaIcUXFx9itzEJ/LkNz01RIpBoYuo
ykrDT8SEsVS3VnQ1YIKd2fsE79jI7U9idvstkTvbRQBuhyX0GR4ETppDzMC41S4udNc3olOSwaqW
NYdjDOHxOarHV99vcf5XJm58lxySGoaBbve5vOtz2Bnr2lHzpoLfCDC5Tdk2GliHnQHNF6hbsIKs
eQ+ZDCUz9eYnmMfdHZ3JyVedcMc1CdECn2IN3bDFv3VjpSDrgYCucYXSUD0Hn2TjgN9pJ2NTTh6A
gCB9RbEDYdcVeulvpW8Y22pePGKxoFU7LuRRsd5bhVm6iWYQP/ngG7vKluo7xYc9hsMaPzHfNcN6
JUtm3zl5d6dC2kn9Oo3WWpnTWjiTdaHC1okQ3+N81+Ye9ry8UruKwhvwLT0DBayQFfbUkUZpiLi7
1sG6kPc4GtOStZ3sVoXy3GcOSfN+aBBcCQm8KEky2rKku1XYBe6csn+oE5YtKb56j3I+drCi3Ydh
+W5VBNQhrWi7hfsXsdzAZqRxB7AISmZnq4XCNjgo+75RQ/hYmmGxRVAl5e07d07Fdj9Yute1LfVO
qaF5C4PQX3uTVa1ZBN/Iwfi7FKaaWkkCuq+lR4LFyqNpR0qRynffJD62Zm8H1rSayvoT5zL9IMrE
PuQYZvct2tza4mZzj8W+XlmNETzF/L5fQMSO9H7pvOXdkIXU3M4b6BKYRipvAyUiNJE/2IBvZcU7
suoQ9G7ss1hZRNy8Po9x230V7HbMdeMF7XCMiDT4O1myXO67+ccEJ2UVJUs40hveSYFVR/5zuB98
3eEHAGAO8qoBups/cu/fIDJa93wJm/2cQnYQdpB9ESbsY6gmWO0HpGprWrAPyIK7JIE5YCF/QUJr
z+0c6isboZdRJKTpAuOTnSvYVDzkb5KU5K4jzJiRxrJYIIVSceVmXb6ePad5EhJjVtI1h6qmlATU
rHnoO+JSeupYZDXDcBxo9OYuP5QwZFwuirERuNyqHLg2CMNt2LIlZ7GYX6a+ELehzpNNyWb3S+U7
3bZxWFnA8jiXLXcL3QXVDx5I2L4xrR/oZRk/gfyD58SWTX1v85k+4cosi03K4nw1z4HJmdGddobh
V7RyV8VRJd2PSojqpFVoPWE9oxvSnG5JO2anaUb7rQIbU6xlGeMLjWbRD3fO2m3MZ3Nlg24ePbcJ
d0YZtI8zTbmAdMOPlhK3e6s0ol2ewBWQfgqAJkuH7KBxKu1VCi9koH6c4LX50MyOT+NdLFiLjXo3
h66DUd+JylOKz2Tta4Hlzcb7AXhh3lU6yc7OBA1z1bMpV2uSX4oUN4AroUV+phwv63Ho8Y4EMs33
YRlYRwcr/aqO5Tlzhtep1dWdrvS9Ruj8gEM8XJrarjGC5HrNbHg/2FW3DcLufzN3Hk2RK+ka/is3
Zq+6silpMXdRlioooPHdGwUNtLyU8ubXzyPgTNAcjiXuTFVEr+igUCozP/ea6t6ogIqkatFuU2vY
xLlygxQWqjrNiMIFshjZLveYOgcSFVa/Eel1X/X1KbpBIM0Jgke9xD91SMtrUwaItgeOvizctnws
sm4kcpMUAH7OwwUA2W4pde7mOBf+qS0z/4vWIjwKz0igM6wr8Ryl8nxJI6M9B9R+Kwf063OlOQn0
NkERu1shg43YVx3LVdL0S0bXDkrA+UjztEYYAiJVBetir4Mv4TvD8AuJvcVoNPKWw4hkFVN3R0eE
JrupIiVcSztbtbH6kInwqOm0egubDOYNvBm4fzbyHhA5iX2MZuvQQqdFyWBuIsSTW/Z6EDSE51Iq
zs7NgRjoRghjMLkC8pUuCxRUl5RQWBv7ckMqH68cH70TEUT4nMMu2xh8/7xMrYe6sLw7m8b0XIKN
UDtwSGOEuZksrocaDAW+0LtaaW6cSG/PA5xBWdqvbq0QowPlwQnzG92I94xzL5HeRogo1c7g1D35
8VPZOe0GKYJmrob+VS2aYJ4WksGqfRJa2l7Rx2aR2E11kpTKSckOQlHCBVbXGRAeejta+4jyEKWQ
h5DtxhBFejsaj7TikrUD3GahdVG6SDBQZDYxKLzAKrxiIl5xi2XX5ejciCLiX3EfS+9bn1sngZZ8
NXWrPq4gLS+apISElQbXge4yZkivQE9+ZS4BGgnBf6vKTg3BqFHV0VECc8AEGKbbHM+Ebq6Dw1ya
Fv2LoNCRGeuKdSeSi4hTtYWc8J22w1Z0w1JxCmuOEAWktJbhXRR4R0LT2zMcRKyzQdrVE54fLk0z
awvRNd25oSXWLXqam7TzvseGTWFOuX9VF+hoTEU+Rxbp/odg1OQ6rbCS8FJrXbpqshtizId0D+tA
UilRrEwD3EOQOA1qTlm0dDS4f26W7XUT/kGV9eQq0nMp7js0YXxKhKrDHLOxFHIYHjgC88VVAKbW
QQ0ceTveN3VrPu8U+xLYz5lpdOFC6OW3Nh3XVU2enwmyzzSGmG553PnSJ6E33AsgEXsj8m7rITtN
oepi7sp7R9BehWaUlNsgGCVBP7tWa7NflMxbUb2TdxEe7kv0gCRa8d9txbwViQqAqiRmD7LipZXx
jdSNBnnqNr3paYZiDWgluET62pGJzugKbcBhLosqug/bBgsAM2C6RENkZ2cT38QucDFPEQ9HseJb
Bnlgw3iBJ1UR7Eij9szSCtAvqYEaB2apP+whMM7CvCe7E0ayHuBxrhW4CehFq/uMmmUdUf/suswj
OULiz9LL87KmwLCkU9wFiMGCDvGaDS2WywIMFQJ2iGC1/ilCc/VZVSgIHnB3rEzXE/ucEQ5Jf0/d
HGplcTrqiPSV2EetVUFx7GTlrQHAc8W8UF3rIVrBPrCNhd2J/kpXEF21M7QUuxK2oA+X6aHnoXZ2
aSdL0fNKda2RRzpg4g3xVj2VRYAcFtC9HciybAAvwfRI36tDAdoKut0+Rk31ptJyceP01pPXazoa
S1m7CRJDvUWQrj7KQFBfStmW3zv29nldOmKPoBU+H3jRbGQdtJs+RcC8gzyLWHiVrkzaOEvkPsDL
FbjwIsSAQCB5X2Vfq5PEYePXxlpF/Bs7Anp86PBXKNA0gWy2VYrxF/oyX4eCVBG1ifjB84NsFRba
sAhKUqF6Iie7UL3pVUfkSpGK9lCRWWAkhNjJsh6+NuDbKJjEKuH4roFBNVvPjIxVF0GrLVO/Z45u
RWSLMa7ddtAuUUr7EtCIWrQpbxznTfdIby1t3dNLYYDTNRgyV+GeaXG5jdRklbldv3Y56NRSiDMg
JdUi2YJFKSbA6d7FtZg0NglAK2gdbEUv2MqxLWG962KTJrV1zPcMqwZPAoZ7enuEJqaz8xy8fasm
hxkVks1TgF12lW58izMkWERfP/au0d1psQ8vbEz2RR94t0k4PlKOlxduV4CL8EsFAqfSVGstLttj
Ra2udd265WurXVbiMSfAHlcB6XBlDsOi9Gi56SgkVbyoMjgFMUdvKCsxIUkblV5Qqmh0HUOxAJjH
9slzubaC3POBO+nmbePDLmMLyts2Ikx7MK7mTtYgJYmqW70YIpF9oVeRXUulc3E9DuQ9YFPjIsRn
6BxYmrEKBkpDiOlheR7r7ndmxO4F/bjJBs2AuGTKHAGvESqla0Obk42NS3dWniDjEK+E20N078GK
yMITqwLc2QYEXLaQFdhKw9bC3RDAgUWWPQeipCFlGWXjt64y1SN/9Ie7IAemmURRSYdDfIf3FJEc
uMOCAYG/gmwlJ3fxHJTJEJ5AJooWjmtEW7bfF2zAJIa4mV8c9b4RnPhththnnofHSI6CmVBiOqrH
CRrrcAkao/0y4LDw2EZdoe8UICSbtkMabmGI0b7TMhj3gKVsIF1lE4Q/0B8q7YUhhwhgs18PeIIA
rVokKmBa0GJ9bYKMKjF8EFazQgmASm+sxytV9yGRtgnRcYjNJVOTS6gU3JluGT+kHnrCqPL0S6fv
fUzLRbWIK2ldezGWejU+EKlW7hIbtmEeEzs4q8m4z8oUfTAA1TyFPVYw2aGqzaFl5Td8UXmdJll+
F093p5anp3lWx+sok/aJFbjaGlE0jBQip86+ylwau9pK9dVoAsVemnnhHWmW1153xTBexl5bXIWx
Ye5V1N9x88XNW80UxMWViC57lcjkSJNuX/LVYYPyvjeKeT1A8LBTlfiLACfIzBEU68K3O2WFE3xh
zs1AiRZJjT5tYfv00ocCgE6M9DgKEU2jSIjRVQK9rJP3yMtgyM07ia9s7p/TJnWaJ7y6lHTuUUxu
GpbaOSF+B/E61MsLz6q4veILBtbpxm0DnCLoX86lq/r7zmrOTR8CKp2cdlF5rZgjR3RKwx0NVyT9
q9abYK6auUbxAp5eLEElowM9WR4tGlAvgLAQO+zjybYDJ5u9BfN4HhfVjV2EUQDdA5fxKpXiXlBK
Hbmtoy9gb9SrDmsAZmV1c0FJ6XH+U9gpCIyu+kLyV9XBHeACshsLeo2ixeqG1sfjWCG4l/XtOM/H
7qYZAuB9NRzZDOCf63jqeaUzHjdcICJZo2AEHaLqkNVZsgAiVewMJ7wAw9esEFPYeSZaqAt2C241
dIVXdHWavV1F+vc+x/9xCbY51cjBBxtctdpatEJlfWzaZbOxbQvknV+qziNURXeDHqe8pf0hv2RO
VV/4nVPf4YManbHy1MW07tZaW9pn5HLdJFPqrFNO31Jt9ac6wPXEHbX+zBr90ZujZOd9pwdLhk+/
XB5nBlC+ucmdp87byrbtNbpvSrzq/AKIUJy7df0D220NDpLmjSqOLz1jx9TKIBdWhnSviaUNkvhG
QjfLGhrK4Dj3ynFbu4NEkzNVGak6NdJtuZ3ua2zmr0FUeistcIqTyhfd0lOniYsXKt8GHL16SOur
BIN6bv6uurA6aW5SVFTOaIvY/OoKHXi/oqNn2XZPE51c1oVpWOjJGZYgqzTQcWZnZrnIymwJ0bQ9
85JkWVfQAjojWlEBeQtZyh/NWF5nde9eY2KQEXZ9tGxhaVfp0tZGrLn727HCl8isY32N3tFSqTCX
cyTe5fkQhjs/pyfEQGfrJ6FyU3Vg892Q3iVtd4TYgjHcSa9Hni4wkQWm6ip8KzpyoCSsq9ZUaLwE
pbElg8WjKSxTATCxJioCdHWggFk59lGL0qmjuVl12KPBeWlwE1dV5TSvjCFfqwrgljkdjeASeQnr
mKQv3+qRAIMRBvJStJiTze1aaDhYpBVTahoewsM2SK/PKwMZSi4wAyynLwvA9j5FZEm1ki8Nzyx3
SJKp6E+rA0B6B95I4dPWVDtb3PFc4xrmOKDlorEAjID0RXbWkQlMbx9SEE5dxiMITJJeZKbcJVIF
qFrTWZTXzjBdlhD2aSHHhmf8MEUMIbxDVHATMUMgvNEvuYXPbN/BjrFPmEjle9Q67QsGn/ZW6IZx
rVoI9i6FpQTA1xSzA0iVVO5XnELzSZArzbboedTYHptqSDtN0LRrLAySwJwgg7RUNFN7gkVtXKMJ
omIgGMkfsZ2h/VO7VXqGfi4iJSXyteO8cM34EVqJuvV6RDBUJiOXIY5nPmblSkXcycW3wTbtM2Rg
ku8JruV0TH3/rOlzE1atgTZG1fjpfWS5406m5qSV0bm0IRKFggmliBJTBzTZLl102SRyrKZ2X0GK
PurKuk2RCwvEeawCZAWnWPnnymhOhC9lrWMecaNWbv0jz/T8hiGSd5v6af5V4eyvlIqVj1hOSGhk
kkdDFo633pAHdxjZTAYOGKF81UtF3NMFNr8l1VDBExqBEEwKJ2ZFCj8asHEztshOKqZJSMmjVYpc
zQ99dED60bdZZKoJuBxFlXQxwLC5Uaw02Bq9OuzLrnO/RrCPF6pd4QQ0OOFO0GbGFgBgLJDH0rsf
abJwAPKk+OpktbcbybVJqkdsr2ISQAjsaRWs/da6InhlT23W5Ocoaakbhg0KrAarRPMtJAnSYuVb
SLsH2RxgFPRuVJQwkMLegCaNTsFxQEvn2gcjmcv0nHEZNIfep99lhQlJSaan8hLgF84SMGYcFsei
CWnqVbTX6y7Zmt3gbCeV7F1o5vIR9yoGgzlKwsUC3BOqTroTJldQ2lR1CVI+33NhOHKJtZ8413GQ
yzeUyb2+aPWCKhq93ShdZVjEkGdDh32AKdR9oWHdnauqV1xayGE8WUWT7DMsiVAa9sQP17ScvYfP
4Ylv2oqy0LXW+GEhIPSEQEJnogWcN6C7PecuKsvKnieGXYqlE06CB0Nnmh6EfEMcsVXdZcCA9Kqy
YH/Cw7JQNje9Sr3AR9q88e00fcz88kZz6YpmFRlJO6DriFKfrwGutYr4fGy64T5FoRtEPr3ThnwK
oV2b1vt4VNW09Sy3rdI1ZQCL3EA+iueKkKO6iwIIoXjAayrzht4LT4e+tpD3YurKHeFnztrwg/oY
8Z8SXhj9inU3FmydNGvTBOgwwQZbHgbREm3KfVuY6DmzJfRTtbFp2Nk1zmGWsP37BjFmbJPL6g7R
fBktUywjtm1a5hcBL8pZm05lXlcMCIeVmhb2I6mR2c7dMB0eItQ5aK4k0o6OpJ0aJFLoLwxrdnNU
bVAfnTqDECPFwnYz8Q3ZL4FoGin/se8ZHf5EU2RzRbfxR4WuvYJo4863h+9lid0Xk+Oun1Nac07I
kXgChgmaLpDCIuTSx+6Z46CtnozJY+l3Hi3L2sIeaAAqomknFn50LbHALMXGwKshWKK02OtzCCIM
PAx+cKXVbdvM5WBq2Ur6k6llo9k5jJwABt260qIHrzLhJJuhpS8Sv4YDZ6M3skoTr3goAfQRdU0M
aFtGN8MxbMlkoXa1uBsLpg4MMSje0tJL46MyiY3HKKnV46E0MwrccdA2Q5tmG2CJYpFEyKoLLMMZ
5jnZtvMbBmU2w7Rz4dLOZAbZEE0qr3oYI6mR4ulKeYtWZYroMtkEBn8/jFZzjy3FdHcRaKvzbjQw
5eGxq0ncrdwPQ6MsmdVS4w/x2hRoXCtM+zbUNhhEUzXLH4XTGsHcTaLwPHCss4S570b3Cx/odwpx
W6+U/ghqStCumdsH66wy72EFDhcK+tMPiqC1o0FXQog0f2wsI7o27CDBmLzLXZq/ZnGHTjEaCH6u
nSa4cF/4iv5HQIxfQ15c1QQFReDW0dw1J/jEG8RCEKs2/mOFM9X0DE+pmM9tgS5CUsuQuE2qClRd
ia7VtiWU/j5gwvwILgEEhSnohBTWnHf4nonj7IRu72wG4ddnrpDlUVtWTBFUxvZG16sIEgeE1lyN
2sduJKSUTZOuZRvDjOHNxhIxJAcbu0UioUMlGQOmrBfGuiONZ96sa+eYxRm0ZVKBbSMRdTwqhZnv
OjNCx6RCRQLl2Hln0Rs0QGoli6aLkbxFGVMS63EOQ1pO36R9rMxD0EFLMbk0NGVjkqFYVz2cv7nV
Ddp5EYqHKMMHAooRJB2FCz/KMZSAFTdBpXrH+IOl099jrDFEQVLANQ2krekO2tPSvnlvKVuJ5TPJ
1sFQUjeo5yaQ6xwVvmGbaUCWugFshoEuMDOiBnvcqhnWbrIiC5gwBp2+9ELfRUQkaDNn3qRiFbko
p6jIES3yXsEhuaHeTWISYCOKjrIIzOzvv/0JSPoObYVVNgMtE8tX8AzOhJx78wghsUS2bulu1FJG
lDhuOyYLjPeCYwiPF1rfimVLcF5g0hbsNFVtnph4NdtSndB6NNwsDSc+veqQDczAbfz+X/dr2N7k
DC6cCcHugkx9t74+PTyhCTy4cH/iDu0N3z1BLbb8g6+ZPGx+tQguQOvpCHC1a+++RzIwNitPuhvG
n0NM+LaVo64rm2XfJ+K7TgHPHRnjla152RI5dHERkoT2SxrjGMzUunuGUFkMbIbDIq0sPauNBt38
2BsRPQnVK1nH1c3vL432fm24r1XNstRn+Qx6P++gokVSjDQk2HvwobkURj2zFrZKcxApbSTnKENu
3PgsV8McWeFJwDjV1UXQJsFuMAdUzMtweLRgr/yH8df/35Iqr0DyCUONvwOmCl/oYwwXT2jJ1dUv
SiPTTyfpqPoq/3v/6fd/0f88PX/z1SCf/vmP+8cUSf2wqsvwoX4L3/5FaIXN+r+/+n3Pf/Xv/Z7k
nodrHvkC3ZgJ1Cb0CWL9/CH6JHnmv/4Y+LclkEnRadU8f9hofN+bdfqtlfjVH/XBav3+//npAR7y
JqunV+GHefbTQkzw7T+zBO9+w5sl0Gcgy6Frc0jePLrtzgxhmOSK+sujc+7/K4/+h3sAtuSfWYB3
v+fNAmgzxHkcoO5cctMHQOqbhXD0mYrAgG2pLNBhrYDtappm/skN8JvPr+kzwVNTE7K73zy4q89o
xrH1DWQAnj+H9vwajiiffvvGzDIcCImW8/zy371925lxNqBsgcp4/rys9n/+Bnj3+l5uye3jP/8B
1ESFAsXF9blTYM8skmzQtyQq0+fn68AVM021DRvZgZfP4V0HlvhsNNCsGfvA0hz4AS+fnw4EV6IL
NnVKCF9+enB7QQd2+tl9IAgHMAtcVuGDNZguBe5CFug1YB7cGsCVermoyZb8p/zf6cpfyQqsGUzJ
56T/5Sy8iwj8WHWFgINxcDcimlAvJ/MTT+/ONBdMyFRpvwkHNhvDVBHGgyj3/Dm8GwDKHSpUn42H
horKHmw76v6P3j7rADHOImLYL+fjv5UT/mZEwCoC0T5aFZ8KCFyGJIBANp9JW9Oj/rwdzJlqwUoU
cPGeP+yWw8qOCIvTduDsfmoddHU2Vb98Pk4QpiyJH0LKOtAF+OxGQHUSqhmcObh0z5+fb0PbnsHl
gExuvWZIB3ovGJ+OjOYMki+UqTf58Jv70cW8l6BhczO8HIiXbOSAMsXpXtCnXsjnzgPlAuRDDW7c
h9sB7jPSgxO9+mUZDm874E322TNhaDNXNyzS7o8XYeKGCzyXxcHGSstwPx0oKZ3Ik+izvZ78dxHC
mkqGZ9nbA90JzBM+vQiEBwtpANiUr/v950VwTKKHQ0KNTsDz5/DCJPv0s1ejxtWIvIkOa/3DO4Hi
kY1CD/1QiwaNZP4lj/v7ebNGomASAOxJ3OVNYCBhRE0aJpL2Gj8PrmqY5GkQNKDDPwU3HeTIZzeE
Ycxc8i+0M15L5Z9PBTmDRb5gUky87JeDy51M/vbPFlKaOzPpKTrcDL91KlQwoVDMXz6HdzU8Z9DG
SyLz9w+GThedckpjgvv6pD+dD5f+q43lOEnDv398WJXEpPzy2ROhs+UZS3G8PuwtOc4M1NZ0XF5v
0MNLm+gz8gd+9lAwcUE1hybjJLLz5pZ87jYLVWfY/7ILDu5KYObkIPlifDZt0uwZWaFAUejnFaC9
yJB1mkO8rsBLS/eACoiXinrSjPhcBSGQW9IcUucP80aXlAkn60l+6OXzcvQOaB3AM0yqJZ9aBE2b
OUi5ANP8OGVyZ1yJgE5eA+Q0ljisS5Hej/rZo0CrbdJ0cieFrLeXgW3NaLODuf2ly3xwR2F6M599
el2QBTFhZf78stHfLQINBW4CouLrMTm4/IC5uHj5o/5+csA5YHzFzGnSvXkTDxi8mairIZJwcMef
a3CKhJ/OCIwZhJkp6f45OSYf4jyAN/+lt3B47x1g5cuJ/Pvvnc3/3EHRXseN7+auDmW1QP4EUaTD
TQfMj3yCnhEhf2HYxB0IwITyS7ymv+/OgTvjDBggVF6T48PbDR9IMP7VRSArdJjAo/n1+rp/XgTH
nrk27bTpvDx//sIi/Im8AWzT9L8ekqf78v/+BQAA//8=</cx:binary>
              </cx:geoCache>
            </cx:geography>
          </cx:layoutPr>
        </cx:series>
      </cx:plotAreaRegion>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microsoft.com/office/2014/relationships/chartEx" Target="../charts/chartEx1.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image" Target="../media/image1.jpeg"/><Relationship Id="rId6" Type="http://schemas.openxmlformats.org/officeDocument/2006/relationships/chart" Target="../charts/chart9.xml"/><Relationship Id="rId5" Type="http://schemas.openxmlformats.org/officeDocument/2006/relationships/chart" Target="../charts/chart8.xml"/><Relationship Id="rId4" Type="http://schemas.microsoft.com/office/2014/relationships/chartEx" Target="../charts/chartEx2.xml"/></Relationships>
</file>

<file path=xl/drawings/drawing1.xml><?xml version="1.0" encoding="utf-8"?>
<xdr:wsDr xmlns:xdr="http://schemas.openxmlformats.org/drawingml/2006/spreadsheetDrawing" xmlns:a="http://schemas.openxmlformats.org/drawingml/2006/main">
  <xdr:twoCellAnchor>
    <xdr:from>
      <xdr:col>2</xdr:col>
      <xdr:colOff>393700</xdr:colOff>
      <xdr:row>1</xdr:row>
      <xdr:rowOff>88900</xdr:rowOff>
    </xdr:from>
    <xdr:to>
      <xdr:col>10</xdr:col>
      <xdr:colOff>88900</xdr:colOff>
      <xdr:row>16</xdr:row>
      <xdr:rowOff>69850</xdr:rowOff>
    </xdr:to>
    <xdr:graphicFrame macro="">
      <xdr:nvGraphicFramePr>
        <xdr:cNvPr id="3" name="Chart 2">
          <a:extLst>
            <a:ext uri="{FF2B5EF4-FFF2-40B4-BE49-F238E27FC236}">
              <a16:creationId xmlns:a16="http://schemas.microsoft.com/office/drawing/2014/main" id="{BB4A843D-4092-8196-726A-F4954704276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1082675</xdr:colOff>
      <xdr:row>3</xdr:row>
      <xdr:rowOff>53975</xdr:rowOff>
    </xdr:from>
    <xdr:to>
      <xdr:col>8</xdr:col>
      <xdr:colOff>155575</xdr:colOff>
      <xdr:row>18</xdr:row>
      <xdr:rowOff>34925</xdr:rowOff>
    </xdr:to>
    <xdr:graphicFrame macro="">
      <xdr:nvGraphicFramePr>
        <xdr:cNvPr id="3" name="Chart 2">
          <a:extLst>
            <a:ext uri="{FF2B5EF4-FFF2-40B4-BE49-F238E27FC236}">
              <a16:creationId xmlns:a16="http://schemas.microsoft.com/office/drawing/2014/main" id="{A98AA78E-0443-0E7F-AD00-7F24667CA9A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19050</xdr:colOff>
      <xdr:row>1</xdr:row>
      <xdr:rowOff>82550</xdr:rowOff>
    </xdr:from>
    <xdr:to>
      <xdr:col>10</xdr:col>
      <xdr:colOff>158750</xdr:colOff>
      <xdr:row>14</xdr:row>
      <xdr:rowOff>171450</xdr:rowOff>
    </xdr:to>
    <xdr:graphicFrame macro="">
      <xdr:nvGraphicFramePr>
        <xdr:cNvPr id="2" name="Chart 1">
          <a:extLst>
            <a:ext uri="{FF2B5EF4-FFF2-40B4-BE49-F238E27FC236}">
              <a16:creationId xmlns:a16="http://schemas.microsoft.com/office/drawing/2014/main" id="{02554FBB-CE8E-E597-F458-87F9940815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371432</xdr:colOff>
      <xdr:row>1</xdr:row>
      <xdr:rowOff>120215</xdr:rowOff>
    </xdr:from>
    <xdr:to>
      <xdr:col>5</xdr:col>
      <xdr:colOff>263569</xdr:colOff>
      <xdr:row>16</xdr:row>
      <xdr:rowOff>123346</xdr:rowOff>
    </xdr:to>
    <xdr:graphicFrame macro="">
      <xdr:nvGraphicFramePr>
        <xdr:cNvPr id="2" name="Chart 1">
          <a:extLst>
            <a:ext uri="{FF2B5EF4-FFF2-40B4-BE49-F238E27FC236}">
              <a16:creationId xmlns:a16="http://schemas.microsoft.com/office/drawing/2014/main" id="{5FD6BD82-93F2-5119-8F7A-D046BB761C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276225</xdr:colOff>
      <xdr:row>2</xdr:row>
      <xdr:rowOff>95250</xdr:rowOff>
    </xdr:from>
    <xdr:to>
      <xdr:col>5</xdr:col>
      <xdr:colOff>1873250</xdr:colOff>
      <xdr:row>17</xdr:row>
      <xdr:rowOff>76200</xdr:rowOff>
    </xdr:to>
    <mc:AlternateContent xmlns:mc="http://schemas.openxmlformats.org/markup-compatibility/2006">
      <mc:Choice xmlns:cx4="http://schemas.microsoft.com/office/drawing/2016/5/10/chartex" Requires="cx4">
        <xdr:graphicFrame macro="">
          <xdr:nvGraphicFramePr>
            <xdr:cNvPr id="2" name="Chart 1">
              <a:extLst>
                <a:ext uri="{FF2B5EF4-FFF2-40B4-BE49-F238E27FC236}">
                  <a16:creationId xmlns:a16="http://schemas.microsoft.com/office/drawing/2014/main" id="{187A4A51-6500-1EB2-360F-85B0CBDBF21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7851775" y="463550"/>
              <a:ext cx="3438525"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4</xdr:col>
      <xdr:colOff>495300</xdr:colOff>
      <xdr:row>18</xdr:row>
      <xdr:rowOff>6350</xdr:rowOff>
    </xdr:from>
    <xdr:to>
      <xdr:col>5</xdr:col>
      <xdr:colOff>482600</xdr:colOff>
      <xdr:row>28</xdr:row>
      <xdr:rowOff>158750</xdr:rowOff>
    </xdr:to>
    <mc:AlternateContent xmlns:mc="http://schemas.openxmlformats.org/markup-compatibility/2006" xmlns:a14="http://schemas.microsoft.com/office/drawing/2010/main">
      <mc:Choice Requires="a14">
        <xdr:graphicFrame macro="">
          <xdr:nvGraphicFramePr>
            <xdr:cNvPr id="3" name="Years 1">
              <a:extLst>
                <a:ext uri="{FF2B5EF4-FFF2-40B4-BE49-F238E27FC236}">
                  <a16:creationId xmlns:a16="http://schemas.microsoft.com/office/drawing/2014/main" id="{0E28D3A5-52C8-25A2-0538-1330FD2C72C6}"/>
                </a:ext>
              </a:extLst>
            </xdr:cNvPr>
            <xdr:cNvGraphicFramePr/>
          </xdr:nvGraphicFramePr>
          <xdr:xfrm>
            <a:off x="0" y="0"/>
            <a:ext cx="0" cy="0"/>
          </xdr:xfrm>
          <a:graphic>
            <a:graphicData uri="http://schemas.microsoft.com/office/drawing/2010/slicer">
              <sle:slicer xmlns:sle="http://schemas.microsoft.com/office/drawing/2010/slicer" name="Years 1"/>
            </a:graphicData>
          </a:graphic>
        </xdr:graphicFrame>
      </mc:Choice>
      <mc:Fallback xmlns="">
        <xdr:sp macro="" textlink="">
          <xdr:nvSpPr>
            <xdr:cNvPr id="0" name=""/>
            <xdr:cNvSpPr>
              <a:spLocks noTextEdit="1"/>
            </xdr:cNvSpPr>
          </xdr:nvSpPr>
          <xdr:spPr>
            <a:xfrm>
              <a:off x="8072967" y="3359150"/>
              <a:ext cx="1833033" cy="201506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2127250</xdr:colOff>
      <xdr:row>3</xdr:row>
      <xdr:rowOff>88900</xdr:rowOff>
    </xdr:from>
    <xdr:to>
      <xdr:col>8</xdr:col>
      <xdr:colOff>86783</xdr:colOff>
      <xdr:row>17</xdr:row>
      <xdr:rowOff>100539</xdr:rowOff>
    </xdr:to>
    <mc:AlternateContent xmlns:mc="http://schemas.openxmlformats.org/markup-compatibility/2006">
      <mc:Choice xmlns:a14="http://schemas.microsoft.com/office/drawing/2010/main" Requires="a14">
        <xdr:graphicFrame macro="">
          <xdr:nvGraphicFramePr>
            <xdr:cNvPr id="4" name="State/UT">
              <a:extLst>
                <a:ext uri="{FF2B5EF4-FFF2-40B4-BE49-F238E27FC236}">
                  <a16:creationId xmlns:a16="http://schemas.microsoft.com/office/drawing/2014/main" id="{4D1B0835-0D90-03E1-22FD-3624B97D084E}"/>
                </a:ext>
              </a:extLst>
            </xdr:cNvPr>
            <xdr:cNvGraphicFramePr/>
          </xdr:nvGraphicFramePr>
          <xdr:xfrm>
            <a:off x="0" y="0"/>
            <a:ext cx="0" cy="0"/>
          </xdr:xfrm>
          <a:graphic>
            <a:graphicData uri="http://schemas.microsoft.com/office/drawing/2010/slicer">
              <sle:slicer xmlns:sle="http://schemas.microsoft.com/office/drawing/2010/slicer" name="State/UT"/>
            </a:graphicData>
          </a:graphic>
        </xdr:graphicFrame>
      </mc:Choice>
      <mc:Fallback>
        <xdr:sp macro="" textlink="">
          <xdr:nvSpPr>
            <xdr:cNvPr id="0" name=""/>
            <xdr:cNvSpPr>
              <a:spLocks noTextEdit="1"/>
            </xdr:cNvSpPr>
          </xdr:nvSpPr>
          <xdr:spPr>
            <a:xfrm>
              <a:off x="11550650" y="647700"/>
              <a:ext cx="1828800" cy="261937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4</xdr:col>
      <xdr:colOff>212725</xdr:colOff>
      <xdr:row>2</xdr:row>
      <xdr:rowOff>63500</xdr:rowOff>
    </xdr:from>
    <xdr:to>
      <xdr:col>11</xdr:col>
      <xdr:colOff>517525</xdr:colOff>
      <xdr:row>17</xdr:row>
      <xdr:rowOff>44450</xdr:rowOff>
    </xdr:to>
    <xdr:graphicFrame macro="">
      <xdr:nvGraphicFramePr>
        <xdr:cNvPr id="3" name="Chart 2">
          <a:extLst>
            <a:ext uri="{FF2B5EF4-FFF2-40B4-BE49-F238E27FC236}">
              <a16:creationId xmlns:a16="http://schemas.microsoft.com/office/drawing/2014/main" id="{E2E375AE-83BE-039C-F087-6744F4224B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11</xdr:col>
      <xdr:colOff>560326</xdr:colOff>
      <xdr:row>1</xdr:row>
      <xdr:rowOff>141111</xdr:rowOff>
    </xdr:from>
    <xdr:to>
      <xdr:col>29</xdr:col>
      <xdr:colOff>47625</xdr:colOff>
      <xdr:row>11</xdr:row>
      <xdr:rowOff>39602</xdr:rowOff>
    </xdr:to>
    <xdr:sp macro="" textlink="">
      <xdr:nvSpPr>
        <xdr:cNvPr id="3" name="TextBox 2">
          <a:extLst>
            <a:ext uri="{FF2B5EF4-FFF2-40B4-BE49-F238E27FC236}">
              <a16:creationId xmlns:a16="http://schemas.microsoft.com/office/drawing/2014/main" id="{8ED2D6FE-2C8F-0FF0-84AF-129B63FF48D1}"/>
            </a:ext>
          </a:extLst>
        </xdr:cNvPr>
        <xdr:cNvSpPr txBox="1"/>
      </xdr:nvSpPr>
      <xdr:spPr>
        <a:xfrm>
          <a:off x="9577326" y="331611"/>
          <a:ext cx="10345799" cy="180349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4800" b="1">
              <a:solidFill>
                <a:srgbClr val="0B4F8A"/>
              </a:solidFill>
            </a:rPr>
            <a:t>State-wise Analysis of Public &amp; Community Toilet Infrastructure in India</a:t>
          </a:r>
        </a:p>
      </xdr:txBody>
    </xdr:sp>
    <xdr:clientData/>
  </xdr:twoCellAnchor>
  <xdr:twoCellAnchor>
    <xdr:from>
      <xdr:col>6</xdr:col>
      <xdr:colOff>108898</xdr:colOff>
      <xdr:row>11</xdr:row>
      <xdr:rowOff>80319</xdr:rowOff>
    </xdr:from>
    <xdr:to>
      <xdr:col>14</xdr:col>
      <xdr:colOff>12685</xdr:colOff>
      <xdr:row>17</xdr:row>
      <xdr:rowOff>161729</xdr:rowOff>
    </xdr:to>
    <xdr:sp macro="" textlink="">
      <xdr:nvSpPr>
        <xdr:cNvPr id="4" name="TextBox 3">
          <a:extLst>
            <a:ext uri="{FF2B5EF4-FFF2-40B4-BE49-F238E27FC236}">
              <a16:creationId xmlns:a16="http://schemas.microsoft.com/office/drawing/2014/main" id="{67F7F4DA-9FD2-7346-4F45-B495859E4232}"/>
            </a:ext>
          </a:extLst>
        </xdr:cNvPr>
        <xdr:cNvSpPr txBox="1"/>
      </xdr:nvSpPr>
      <xdr:spPr>
        <a:xfrm>
          <a:off x="6109648" y="2175819"/>
          <a:ext cx="4729787" cy="1224410"/>
        </a:xfrm>
        <a:prstGeom prst="flowChartAlternateProcess">
          <a:avLst/>
        </a:prstGeom>
        <a:solidFill>
          <a:schemeClr val="accent1"/>
        </a:solidFill>
        <a:ln w="9525" cmpd="sng">
          <a:solidFill>
            <a:srgbClr val="0B4F8A"/>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800">
              <a:solidFill>
                <a:schemeClr val="bg1"/>
              </a:solidFill>
            </a:rPr>
            <a:t>Total Public Seats Constructed I</a:t>
          </a:r>
          <a:r>
            <a:rPr lang="en-IN" sz="2800" b="1">
              <a:solidFill>
                <a:schemeClr val="bg1"/>
              </a:solidFill>
            </a:rPr>
            <a:t>n</a:t>
          </a:r>
          <a:r>
            <a:rPr lang="en-IN" sz="2800">
              <a:solidFill>
                <a:schemeClr val="bg1"/>
              </a:solidFill>
            </a:rPr>
            <a:t> 2019:  </a:t>
          </a:r>
          <a:r>
            <a:rPr lang="en-IN" sz="2800" b="1">
              <a:solidFill>
                <a:srgbClr val="FF9800"/>
              </a:solidFill>
            </a:rPr>
            <a:t>561298</a:t>
          </a:r>
        </a:p>
      </xdr:txBody>
    </xdr:sp>
    <xdr:clientData/>
  </xdr:twoCellAnchor>
  <xdr:twoCellAnchor>
    <xdr:from>
      <xdr:col>14</xdr:col>
      <xdr:colOff>483670</xdr:colOff>
      <xdr:row>11</xdr:row>
      <xdr:rowOff>80319</xdr:rowOff>
    </xdr:from>
    <xdr:to>
      <xdr:col>22</xdr:col>
      <xdr:colOff>384713</xdr:colOff>
      <xdr:row>17</xdr:row>
      <xdr:rowOff>182158</xdr:rowOff>
    </xdr:to>
    <xdr:sp macro="" textlink="">
      <xdr:nvSpPr>
        <xdr:cNvPr id="8" name="TextBox 7">
          <a:extLst>
            <a:ext uri="{FF2B5EF4-FFF2-40B4-BE49-F238E27FC236}">
              <a16:creationId xmlns:a16="http://schemas.microsoft.com/office/drawing/2014/main" id="{993C1E90-5025-470B-978E-E789F0B47FB5}"/>
            </a:ext>
          </a:extLst>
        </xdr:cNvPr>
        <xdr:cNvSpPr txBox="1"/>
      </xdr:nvSpPr>
      <xdr:spPr>
        <a:xfrm>
          <a:off x="11310420" y="2175819"/>
          <a:ext cx="4727043" cy="1244839"/>
        </a:xfrm>
        <a:prstGeom prst="flowChartAlternateProcess">
          <a:avLst/>
        </a:prstGeom>
        <a:solidFill>
          <a:schemeClr val="accent1"/>
        </a:solidFill>
        <a:ln w="9525" cmpd="sng">
          <a:solidFill>
            <a:schemeClr val="accent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800">
              <a:solidFill>
                <a:schemeClr val="bg1"/>
              </a:solidFill>
            </a:rPr>
            <a:t>Total Public Seats Constructed Untill</a:t>
          </a:r>
          <a:r>
            <a:rPr lang="en-IN" sz="2800" baseline="0">
              <a:solidFill>
                <a:schemeClr val="bg1"/>
              </a:solidFill>
            </a:rPr>
            <a:t> 2021</a:t>
          </a:r>
          <a:r>
            <a:rPr lang="en-IN" sz="2400">
              <a:solidFill>
                <a:schemeClr val="bg1"/>
              </a:solidFill>
            </a:rPr>
            <a:t>:  </a:t>
          </a:r>
          <a:r>
            <a:rPr lang="en-IN" sz="2800" b="1">
              <a:solidFill>
                <a:srgbClr val="FF9800"/>
              </a:solidFill>
            </a:rPr>
            <a:t>609509</a:t>
          </a:r>
        </a:p>
      </xdr:txBody>
    </xdr:sp>
    <xdr:clientData/>
  </xdr:twoCellAnchor>
  <xdr:twoCellAnchor>
    <xdr:from>
      <xdr:col>23</xdr:col>
      <xdr:colOff>93698</xdr:colOff>
      <xdr:row>11</xdr:row>
      <xdr:rowOff>80319</xdr:rowOff>
    </xdr:from>
    <xdr:to>
      <xdr:col>31</xdr:col>
      <xdr:colOff>33749</xdr:colOff>
      <xdr:row>17</xdr:row>
      <xdr:rowOff>178010</xdr:rowOff>
    </xdr:to>
    <xdr:sp macro="" textlink="">
      <xdr:nvSpPr>
        <xdr:cNvPr id="10" name="TextBox 9">
          <a:extLst>
            <a:ext uri="{FF2B5EF4-FFF2-40B4-BE49-F238E27FC236}">
              <a16:creationId xmlns:a16="http://schemas.microsoft.com/office/drawing/2014/main" id="{B70179A4-FB43-4EAC-A245-7A8DB3D0ADC2}"/>
            </a:ext>
          </a:extLst>
        </xdr:cNvPr>
        <xdr:cNvSpPr txBox="1"/>
      </xdr:nvSpPr>
      <xdr:spPr>
        <a:xfrm>
          <a:off x="16349698" y="2175819"/>
          <a:ext cx="4766051" cy="1240691"/>
        </a:xfrm>
        <a:prstGeom prst="flowChartAlternateProcess">
          <a:avLst/>
        </a:prstGeom>
        <a:solidFill>
          <a:schemeClr val="accent1"/>
        </a:solidFill>
        <a:ln w="9525" cmpd="sng">
          <a:solidFill>
            <a:schemeClr val="accent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800">
              <a:solidFill>
                <a:schemeClr val="bg1"/>
              </a:solidFill>
            </a:rPr>
            <a:t>Total Public Seats Constructed Untill</a:t>
          </a:r>
          <a:r>
            <a:rPr lang="en-IN" sz="2800" baseline="0">
              <a:solidFill>
                <a:schemeClr val="bg1"/>
              </a:solidFill>
            </a:rPr>
            <a:t> 2023</a:t>
          </a:r>
          <a:r>
            <a:rPr lang="en-IN" sz="2800">
              <a:solidFill>
                <a:schemeClr val="bg1"/>
              </a:solidFill>
            </a:rPr>
            <a:t>:  </a:t>
          </a:r>
          <a:r>
            <a:rPr lang="en-IN" sz="2800" b="1">
              <a:solidFill>
                <a:srgbClr val="FF9800"/>
              </a:solidFill>
            </a:rPr>
            <a:t>636826</a:t>
          </a:r>
        </a:p>
      </xdr:txBody>
    </xdr:sp>
    <xdr:clientData/>
  </xdr:twoCellAnchor>
  <xdr:twoCellAnchor editAs="oneCell">
    <xdr:from>
      <xdr:col>9</xdr:col>
      <xdr:colOff>111751</xdr:colOff>
      <xdr:row>2</xdr:row>
      <xdr:rowOff>83416</xdr:rowOff>
    </xdr:from>
    <xdr:to>
      <xdr:col>11</xdr:col>
      <xdr:colOff>240800</xdr:colOff>
      <xdr:row>9</xdr:row>
      <xdr:rowOff>139881</xdr:rowOff>
    </xdr:to>
    <xdr:pic>
      <xdr:nvPicPr>
        <xdr:cNvPr id="11" name="Picture 10">
          <a:extLst>
            <a:ext uri="{FF2B5EF4-FFF2-40B4-BE49-F238E27FC236}">
              <a16:creationId xmlns:a16="http://schemas.microsoft.com/office/drawing/2014/main" id="{488192C8-AF30-6018-5792-16E084E3006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922251" y="464416"/>
          <a:ext cx="1335549" cy="1389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551894</xdr:colOff>
      <xdr:row>20</xdr:row>
      <xdr:rowOff>95250</xdr:rowOff>
    </xdr:from>
    <xdr:to>
      <xdr:col>14</xdr:col>
      <xdr:colOff>63500</xdr:colOff>
      <xdr:row>39</xdr:row>
      <xdr:rowOff>98777</xdr:rowOff>
    </xdr:to>
    <xdr:graphicFrame macro="">
      <xdr:nvGraphicFramePr>
        <xdr:cNvPr id="13" name="Chart 12">
          <a:extLst>
            <a:ext uri="{FF2B5EF4-FFF2-40B4-BE49-F238E27FC236}">
              <a16:creationId xmlns:a16="http://schemas.microsoft.com/office/drawing/2014/main" id="{20A93718-2840-4434-89C7-C61016FB3D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571500</xdr:colOff>
      <xdr:row>40</xdr:row>
      <xdr:rowOff>95250</xdr:rowOff>
    </xdr:from>
    <xdr:to>
      <xdr:col>14</xdr:col>
      <xdr:colOff>110717</xdr:colOff>
      <xdr:row>59</xdr:row>
      <xdr:rowOff>149931</xdr:rowOff>
    </xdr:to>
    <xdr:graphicFrame macro="">
      <xdr:nvGraphicFramePr>
        <xdr:cNvPr id="14" name="Chart 13">
          <a:extLst>
            <a:ext uri="{FF2B5EF4-FFF2-40B4-BE49-F238E27FC236}">
              <a16:creationId xmlns:a16="http://schemas.microsoft.com/office/drawing/2014/main" id="{87E2A40F-BE96-42C7-82F8-FAAFA8A484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275166</xdr:colOff>
      <xdr:row>21</xdr:row>
      <xdr:rowOff>158750</xdr:rowOff>
    </xdr:from>
    <xdr:to>
      <xdr:col>25</xdr:col>
      <xdr:colOff>190500</xdr:colOff>
      <xdr:row>58</xdr:row>
      <xdr:rowOff>158750</xdr:rowOff>
    </xdr:to>
    <mc:AlternateContent xmlns:mc="http://schemas.openxmlformats.org/markup-compatibility/2006">
      <mc:Choice xmlns:cx4="http://schemas.microsoft.com/office/drawing/2016/5/10/chartex" Requires="cx4">
        <xdr:graphicFrame macro="">
          <xdr:nvGraphicFramePr>
            <xdr:cNvPr id="18" name="Chart 17">
              <a:extLst>
                <a:ext uri="{FF2B5EF4-FFF2-40B4-BE49-F238E27FC236}">
                  <a16:creationId xmlns:a16="http://schemas.microsoft.com/office/drawing/2014/main" id="{CAB30285-3409-4F02-8866-DCC8D3F59EA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10498666" y="4159250"/>
              <a:ext cx="7154334" cy="70485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32</xdr:col>
      <xdr:colOff>571501</xdr:colOff>
      <xdr:row>37</xdr:row>
      <xdr:rowOff>185266</xdr:rowOff>
    </xdr:from>
    <xdr:to>
      <xdr:col>38</xdr:col>
      <xdr:colOff>160915</xdr:colOff>
      <xdr:row>50</xdr:row>
      <xdr:rowOff>0</xdr:rowOff>
    </xdr:to>
    <mc:AlternateContent xmlns:mc="http://schemas.openxmlformats.org/markup-compatibility/2006">
      <mc:Choice xmlns:a14="http://schemas.microsoft.com/office/drawing/2010/main" Requires="a14">
        <xdr:graphicFrame macro="">
          <xdr:nvGraphicFramePr>
            <xdr:cNvPr id="19" name="Years 2">
              <a:extLst>
                <a:ext uri="{FF2B5EF4-FFF2-40B4-BE49-F238E27FC236}">
                  <a16:creationId xmlns:a16="http://schemas.microsoft.com/office/drawing/2014/main" id="{5A56D82C-CFD7-4BC5-AF07-5810342153DE}"/>
                </a:ext>
              </a:extLst>
            </xdr:cNvPr>
            <xdr:cNvGraphicFramePr/>
          </xdr:nvGraphicFramePr>
          <xdr:xfrm>
            <a:off x="0" y="0"/>
            <a:ext cx="0" cy="0"/>
          </xdr:xfrm>
          <a:graphic>
            <a:graphicData uri="http://schemas.microsoft.com/office/drawing/2010/slicer">
              <sle:slicer xmlns:sle="http://schemas.microsoft.com/office/drawing/2010/slicer" name="Years 2"/>
            </a:graphicData>
          </a:graphic>
        </xdr:graphicFrame>
      </mc:Choice>
      <mc:Fallback>
        <xdr:sp macro="" textlink="">
          <xdr:nvSpPr>
            <xdr:cNvPr id="0" name=""/>
            <xdr:cNvSpPr>
              <a:spLocks noTextEdit="1"/>
            </xdr:cNvSpPr>
          </xdr:nvSpPr>
          <xdr:spPr>
            <a:xfrm>
              <a:off x="22710690" y="7170266"/>
              <a:ext cx="3296441" cy="226892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273914</xdr:colOff>
      <xdr:row>11</xdr:row>
      <xdr:rowOff>80319</xdr:rowOff>
    </xdr:from>
    <xdr:to>
      <xdr:col>5</xdr:col>
      <xdr:colOff>499203</xdr:colOff>
      <xdr:row>21</xdr:row>
      <xdr:rowOff>14491</xdr:rowOff>
    </xdr:to>
    <xdr:sp macro="" textlink="">
      <xdr:nvSpPr>
        <xdr:cNvPr id="20" name="TextBox 19">
          <a:extLst>
            <a:ext uri="{FF2B5EF4-FFF2-40B4-BE49-F238E27FC236}">
              <a16:creationId xmlns:a16="http://schemas.microsoft.com/office/drawing/2014/main" id="{31442DEB-CEF6-A25D-40A8-7BFB326DD03D}"/>
            </a:ext>
          </a:extLst>
        </xdr:cNvPr>
        <xdr:cNvSpPr txBox="1"/>
      </xdr:nvSpPr>
      <xdr:spPr>
        <a:xfrm>
          <a:off x="1480414" y="2175819"/>
          <a:ext cx="4416289" cy="1839172"/>
        </a:xfrm>
        <a:prstGeom prst="round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800">
              <a:solidFill>
                <a:schemeClr val="bg1"/>
              </a:solidFill>
            </a:rPr>
            <a:t>Highest</a:t>
          </a:r>
          <a:r>
            <a:rPr lang="en-IN" sz="2800" baseline="0">
              <a:solidFill>
                <a:schemeClr val="bg1"/>
              </a:solidFill>
            </a:rPr>
            <a:t> Seats ( 2023)</a:t>
          </a:r>
        </a:p>
        <a:p>
          <a:r>
            <a:rPr lang="en-IN" sz="2800" baseline="0">
              <a:solidFill>
                <a:schemeClr val="bg1"/>
              </a:solidFill>
            </a:rPr>
            <a:t>State: </a:t>
          </a:r>
          <a:r>
            <a:rPr lang="en-IN" sz="3200" baseline="0">
              <a:solidFill>
                <a:srgbClr val="FF9800"/>
              </a:solidFill>
            </a:rPr>
            <a:t>Maharastra</a:t>
          </a:r>
        </a:p>
        <a:p>
          <a:r>
            <a:rPr lang="en-IN" sz="2800" baseline="0">
              <a:solidFill>
                <a:schemeClr val="bg1"/>
              </a:solidFill>
            </a:rPr>
            <a:t>No. of Seats: </a:t>
          </a:r>
          <a:r>
            <a:rPr lang="en-IN" sz="4000" baseline="0">
              <a:solidFill>
                <a:srgbClr val="FF9800"/>
              </a:solidFill>
            </a:rPr>
            <a:t>166465</a:t>
          </a:r>
          <a:endParaRPr lang="en-IN" sz="4000">
            <a:solidFill>
              <a:srgbClr val="FF9800"/>
            </a:solidFill>
          </a:endParaRPr>
        </a:p>
      </xdr:txBody>
    </xdr:sp>
    <xdr:clientData/>
  </xdr:twoCellAnchor>
  <xdr:twoCellAnchor>
    <xdr:from>
      <xdr:col>24</xdr:col>
      <xdr:colOff>346283</xdr:colOff>
      <xdr:row>20</xdr:row>
      <xdr:rowOff>95250</xdr:rowOff>
    </xdr:from>
    <xdr:to>
      <xdr:col>32</xdr:col>
      <xdr:colOff>193468</xdr:colOff>
      <xdr:row>37</xdr:row>
      <xdr:rowOff>127354</xdr:rowOff>
    </xdr:to>
    <xdr:graphicFrame macro="">
      <xdr:nvGraphicFramePr>
        <xdr:cNvPr id="21" name="Chart 20">
          <a:extLst>
            <a:ext uri="{FF2B5EF4-FFF2-40B4-BE49-F238E27FC236}">
              <a16:creationId xmlns:a16="http://schemas.microsoft.com/office/drawing/2014/main" id="{5731D374-0BC7-42C7-AF1E-61F54F2B76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142889</xdr:colOff>
      <xdr:row>22</xdr:row>
      <xdr:rowOff>154004</xdr:rowOff>
    </xdr:from>
    <xdr:to>
      <xdr:col>5</xdr:col>
      <xdr:colOff>471477</xdr:colOff>
      <xdr:row>34</xdr:row>
      <xdr:rowOff>146217</xdr:rowOff>
    </xdr:to>
    <xdr:sp macro="" textlink="">
      <xdr:nvSpPr>
        <xdr:cNvPr id="22" name="TextBox 21">
          <a:extLst>
            <a:ext uri="{FF2B5EF4-FFF2-40B4-BE49-F238E27FC236}">
              <a16:creationId xmlns:a16="http://schemas.microsoft.com/office/drawing/2014/main" id="{25448382-EDDE-4606-972E-5241E7577971}"/>
            </a:ext>
          </a:extLst>
        </xdr:cNvPr>
        <xdr:cNvSpPr txBox="1"/>
      </xdr:nvSpPr>
      <xdr:spPr>
        <a:xfrm>
          <a:off x="1349389" y="4345004"/>
          <a:ext cx="4519588" cy="2278213"/>
        </a:xfrm>
        <a:prstGeom prst="flowChartAlternateProcess">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800" baseline="0">
              <a:solidFill>
                <a:schemeClr val="bg1"/>
              </a:solidFill>
            </a:rPr>
            <a:t>Least Seats (2023)</a:t>
          </a:r>
        </a:p>
        <a:p>
          <a:r>
            <a:rPr lang="en-IN" sz="2800" baseline="0">
              <a:solidFill>
                <a:schemeClr val="bg1"/>
              </a:solidFill>
            </a:rPr>
            <a:t>State</a:t>
          </a:r>
          <a:r>
            <a:rPr lang="en-IN" sz="3200" baseline="0">
              <a:solidFill>
                <a:schemeClr val="bg1"/>
              </a:solidFill>
            </a:rPr>
            <a:t>: </a:t>
          </a:r>
          <a:r>
            <a:rPr lang="en-IN" sz="3200" baseline="0">
              <a:solidFill>
                <a:srgbClr val="FF9800"/>
              </a:solidFill>
            </a:rPr>
            <a:t>Arunachal Pradesh</a:t>
          </a:r>
        </a:p>
        <a:p>
          <a:r>
            <a:rPr lang="en-IN" sz="2800" baseline="0">
              <a:solidFill>
                <a:schemeClr val="bg1"/>
              </a:solidFill>
            </a:rPr>
            <a:t>No. of Seats:</a:t>
          </a:r>
          <a:r>
            <a:rPr lang="en-IN" sz="2800" baseline="0"/>
            <a:t> </a:t>
          </a:r>
          <a:r>
            <a:rPr lang="en-IN" sz="4000" baseline="0">
              <a:solidFill>
                <a:srgbClr val="FF9800"/>
              </a:solidFill>
            </a:rPr>
            <a:t>89</a:t>
          </a:r>
          <a:endParaRPr lang="en-IN" sz="4000">
            <a:solidFill>
              <a:srgbClr val="FF9800"/>
            </a:solidFill>
          </a:endParaRPr>
        </a:p>
      </xdr:txBody>
    </xdr:sp>
    <xdr:clientData/>
  </xdr:twoCellAnchor>
  <xdr:twoCellAnchor>
    <xdr:from>
      <xdr:col>24</xdr:col>
      <xdr:colOff>349250</xdr:colOff>
      <xdr:row>40</xdr:row>
      <xdr:rowOff>33135</xdr:rowOff>
    </xdr:from>
    <xdr:to>
      <xdr:col>32</xdr:col>
      <xdr:colOff>364480</xdr:colOff>
      <xdr:row>58</xdr:row>
      <xdr:rowOff>71233</xdr:rowOff>
    </xdr:to>
    <xdr:graphicFrame macro="">
      <xdr:nvGraphicFramePr>
        <xdr:cNvPr id="24" name="Chart 23">
          <a:extLst>
            <a:ext uri="{FF2B5EF4-FFF2-40B4-BE49-F238E27FC236}">
              <a16:creationId xmlns:a16="http://schemas.microsoft.com/office/drawing/2014/main" id="{787664DF-D0D0-467F-9EA6-294DF2CCCF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31</xdr:col>
      <xdr:colOff>330108</xdr:colOff>
      <xdr:row>11</xdr:row>
      <xdr:rowOff>80319</xdr:rowOff>
    </xdr:from>
    <xdr:to>
      <xdr:col>38</xdr:col>
      <xdr:colOff>222250</xdr:colOff>
      <xdr:row>22</xdr:row>
      <xdr:rowOff>54721</xdr:rowOff>
    </xdr:to>
    <xdr:sp macro="" textlink="">
      <xdr:nvSpPr>
        <xdr:cNvPr id="25" name="TextBox 24">
          <a:extLst>
            <a:ext uri="{FF2B5EF4-FFF2-40B4-BE49-F238E27FC236}">
              <a16:creationId xmlns:a16="http://schemas.microsoft.com/office/drawing/2014/main" id="{7B8CF63E-6417-3533-37B2-FD8C844BB6D9}"/>
            </a:ext>
          </a:extLst>
        </xdr:cNvPr>
        <xdr:cNvSpPr txBox="1"/>
      </xdr:nvSpPr>
      <xdr:spPr>
        <a:xfrm>
          <a:off x="21412108" y="2175819"/>
          <a:ext cx="4114892" cy="2069902"/>
        </a:xfrm>
        <a:prstGeom prst="flowChartAlternateProcess">
          <a:avLst/>
        </a:prstGeom>
        <a:solidFill>
          <a:schemeClr val="accent1"/>
        </a:solidFill>
        <a:ln w="9525" cmpd="sng">
          <a:solidFill>
            <a:schemeClr val="accent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800" b="1">
              <a:solidFill>
                <a:schemeClr val="bg1"/>
              </a:solidFill>
            </a:rPr>
            <a:t>Nationa</a:t>
          </a:r>
          <a:r>
            <a:rPr lang="en-IN" sz="2800" b="1" baseline="0">
              <a:solidFill>
                <a:schemeClr val="bg1"/>
              </a:solidFill>
            </a:rPr>
            <a:t>l Growth Trend</a:t>
          </a:r>
          <a:endParaRPr lang="en-IN" sz="2800" b="1">
            <a:solidFill>
              <a:srgbClr val="FF9800"/>
            </a:solidFill>
            <a:latin typeface="+mn-lt"/>
            <a:ea typeface="+mn-ea"/>
            <a:cs typeface="+mn-cs"/>
          </a:endParaRPr>
        </a:p>
        <a:p>
          <a:r>
            <a:rPr lang="en-IN" sz="2800" b="1" baseline="0">
              <a:solidFill>
                <a:schemeClr val="bg1"/>
              </a:solidFill>
            </a:rPr>
            <a:t>2019- 2021= </a:t>
          </a:r>
          <a:r>
            <a:rPr lang="en-IN" sz="2800" b="1" baseline="0">
              <a:solidFill>
                <a:srgbClr val="FF9800"/>
              </a:solidFill>
              <a:latin typeface="+mn-lt"/>
              <a:ea typeface="+mn-ea"/>
              <a:cs typeface="+mn-cs"/>
            </a:rPr>
            <a:t>+8.6%</a:t>
          </a:r>
          <a:endParaRPr lang="en-IN" sz="2800" b="1">
            <a:solidFill>
              <a:srgbClr val="FF9800"/>
            </a:solidFill>
            <a:latin typeface="+mn-lt"/>
            <a:ea typeface="+mn-ea"/>
            <a:cs typeface="+mn-cs"/>
          </a:endParaRPr>
        </a:p>
        <a:p>
          <a:r>
            <a:rPr lang="en-IN" sz="2800" b="1" baseline="0">
              <a:solidFill>
                <a:schemeClr val="bg1"/>
              </a:solidFill>
            </a:rPr>
            <a:t>2021-2023= </a:t>
          </a:r>
          <a:r>
            <a:rPr lang="en-IN" sz="2800" b="1" baseline="0">
              <a:solidFill>
                <a:srgbClr val="FF9800"/>
              </a:solidFill>
              <a:latin typeface="+mn-lt"/>
              <a:ea typeface="+mn-ea"/>
              <a:cs typeface="+mn-cs"/>
            </a:rPr>
            <a:t>+4.5%</a:t>
          </a:r>
        </a:p>
        <a:p>
          <a:r>
            <a:rPr lang="en-IN" sz="2800" b="1" baseline="0">
              <a:solidFill>
                <a:schemeClr val="bg1"/>
              </a:solidFill>
            </a:rPr>
            <a:t>Overall </a:t>
          </a:r>
          <a:r>
            <a:rPr lang="en-IN" sz="2800" b="1">
              <a:solidFill>
                <a:schemeClr val="bg1"/>
              </a:solidFill>
              <a:latin typeface="+mn-lt"/>
              <a:ea typeface="+mn-ea"/>
              <a:cs typeface="+mn-cs"/>
            </a:rPr>
            <a:t>Growth=</a:t>
          </a:r>
          <a:r>
            <a:rPr lang="en-IN" sz="2800" b="1" baseline="0">
              <a:solidFill>
                <a:schemeClr val="bg1"/>
              </a:solidFill>
              <a:latin typeface="+mn-lt"/>
              <a:ea typeface="+mn-ea"/>
              <a:cs typeface="+mn-cs"/>
            </a:rPr>
            <a:t> </a:t>
          </a:r>
          <a:r>
            <a:rPr lang="en-IN" sz="2800" b="1">
              <a:solidFill>
                <a:srgbClr val="FF9800"/>
              </a:solidFill>
              <a:latin typeface="+mn-lt"/>
              <a:ea typeface="+mn-ea"/>
              <a:cs typeface="+mn-cs"/>
            </a:rPr>
            <a:t>+13.5%</a:t>
          </a:r>
        </a:p>
      </xdr:txBody>
    </xdr:sp>
    <xdr:clientData/>
  </xdr:twoCellAnchor>
  <xdr:twoCellAnchor editAs="oneCell">
    <xdr:from>
      <xdr:col>32</xdr:col>
      <xdr:colOff>547687</xdr:colOff>
      <xdr:row>24</xdr:row>
      <xdr:rowOff>47623</xdr:rowOff>
    </xdr:from>
    <xdr:to>
      <xdr:col>38</xdr:col>
      <xdr:colOff>182562</xdr:colOff>
      <xdr:row>35</xdr:row>
      <xdr:rowOff>127001</xdr:rowOff>
    </xdr:to>
    <mc:AlternateContent xmlns:mc="http://schemas.openxmlformats.org/markup-compatibility/2006">
      <mc:Choice xmlns:a14="http://schemas.microsoft.com/office/drawing/2010/main" Requires="a14">
        <xdr:graphicFrame macro="">
          <xdr:nvGraphicFramePr>
            <xdr:cNvPr id="2" name="State/UT 1">
              <a:extLst>
                <a:ext uri="{FF2B5EF4-FFF2-40B4-BE49-F238E27FC236}">
                  <a16:creationId xmlns:a16="http://schemas.microsoft.com/office/drawing/2014/main" id="{C99BFC19-3B60-4492-BB12-D60D5A24E6E9}"/>
                </a:ext>
              </a:extLst>
            </xdr:cNvPr>
            <xdr:cNvGraphicFramePr/>
          </xdr:nvGraphicFramePr>
          <xdr:xfrm>
            <a:off x="0" y="0"/>
            <a:ext cx="0" cy="0"/>
          </xdr:xfrm>
          <a:graphic>
            <a:graphicData uri="http://schemas.microsoft.com/office/drawing/2010/slicer">
              <sle:slicer xmlns:sle="http://schemas.microsoft.com/office/drawing/2010/slicer" name="State/UT 1"/>
            </a:graphicData>
          </a:graphic>
        </xdr:graphicFrame>
      </mc:Choice>
      <mc:Fallback>
        <xdr:sp macro="" textlink="">
          <xdr:nvSpPr>
            <xdr:cNvPr id="0" name=""/>
            <xdr:cNvSpPr>
              <a:spLocks noTextEdit="1"/>
            </xdr:cNvSpPr>
          </xdr:nvSpPr>
          <xdr:spPr>
            <a:xfrm>
              <a:off x="22686876" y="4578434"/>
              <a:ext cx="3341902" cy="21559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8.xml><?xml version="1.0" encoding="utf-8"?>
<xdr:wsDr xmlns:xdr="http://schemas.openxmlformats.org/drawingml/2006/spreadsheetDrawing" xmlns:a="http://schemas.openxmlformats.org/drawingml/2006/main">
  <xdr:twoCellAnchor editAs="absolute">
    <xdr:from>
      <xdr:col>3</xdr:col>
      <xdr:colOff>120650</xdr:colOff>
      <xdr:row>2</xdr:row>
      <xdr:rowOff>6350</xdr:rowOff>
    </xdr:from>
    <xdr:to>
      <xdr:col>6</xdr:col>
      <xdr:colOff>120650</xdr:colOff>
      <xdr:row>12</xdr:row>
      <xdr:rowOff>88900</xdr:rowOff>
    </xdr:to>
    <mc:AlternateContent xmlns:mc="http://schemas.openxmlformats.org/markup-compatibility/2006" xmlns:sle15="http://schemas.microsoft.com/office/drawing/2012/slicer">
      <mc:Choice Requires="sle15">
        <xdr:graphicFrame macro="">
          <xdr:nvGraphicFramePr>
            <xdr:cNvPr id="2" name="Select The year">
              <a:extLst>
                <a:ext uri="{FF2B5EF4-FFF2-40B4-BE49-F238E27FC236}">
                  <a16:creationId xmlns:a16="http://schemas.microsoft.com/office/drawing/2014/main" id="{E6919CFC-E977-9A3D-4A2A-CAB28F3D6F17}"/>
                </a:ext>
              </a:extLst>
            </xdr:cNvPr>
            <xdr:cNvGraphicFramePr/>
          </xdr:nvGraphicFramePr>
          <xdr:xfrm>
            <a:off x="0" y="0"/>
            <a:ext cx="0" cy="0"/>
          </xdr:xfrm>
          <a:graphic>
            <a:graphicData uri="http://schemas.microsoft.com/office/drawing/2010/slicer">
              <sle:slicer xmlns:sle="http://schemas.microsoft.com/office/drawing/2010/slicer" name="Select The year"/>
            </a:graphicData>
          </a:graphic>
        </xdr:graphicFrame>
      </mc:Choice>
      <mc:Fallback xmlns="">
        <xdr:sp macro="" textlink="">
          <xdr:nvSpPr>
            <xdr:cNvPr id="0" name=""/>
            <xdr:cNvSpPr>
              <a:spLocks noTextEdit="1"/>
            </xdr:cNvSpPr>
          </xdr:nvSpPr>
          <xdr:spPr>
            <a:xfrm>
              <a:off x="4222750" y="374650"/>
              <a:ext cx="1828800" cy="1924050"/>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uvanshika Rana" refreshedDate="46183.719547800923" createdVersion="8" refreshedVersion="8" minRefreshableVersion="3" recordCount="35" xr:uid="{DBD0F611-8347-4E1C-A0B9-0A91E2218C2F}">
  <cacheSource type="worksheet">
    <worksheetSource ref="B1:C36" sheet="Combined_Table"/>
  </cacheSource>
  <cacheFields count="2">
    <cacheField name="State/UT" numFmtId="0">
      <sharedItems count="35">
        <s v="Andhra Pradesh"/>
        <s v="Andaman and Nicobar"/>
        <s v="Arunachal Pradesh"/>
        <s v="Assam"/>
        <s v="Bihar"/>
        <s v="Chandigarh"/>
        <s v="Chhattisgarh"/>
        <s v="Daman &amp; Diu and Dadra &amp; Nagra Haveli"/>
        <s v="Delhi"/>
        <s v="Goa"/>
        <s v="Gujarat"/>
        <s v="Haryana"/>
        <s v="Himachal Pradesh"/>
        <s v="Jammu and Kashmir"/>
        <s v="Jharkhand"/>
        <s v="Karnataka"/>
        <s v="Kerala"/>
        <s v="Ladakh"/>
        <s v="Madhya Pradesh"/>
        <s v="Maharashtra"/>
        <s v="Manipur"/>
        <s v="Meghalaya"/>
        <s v="Mizoram"/>
        <s v="Nagaland"/>
        <s v="Odisha"/>
        <s v="Puducherry"/>
        <s v="Punjab"/>
        <s v="Rajasthan"/>
        <s v="Sikkim"/>
        <s v="Tamil Nadu"/>
        <s v="Telangana"/>
        <s v="Tripura"/>
        <s v="Uttar Pradesh"/>
        <s v="Uttarakhand"/>
        <s v="West Bengal"/>
      </sharedItems>
    </cacheField>
    <cacheField name=" Public Toilte seats (2019)" numFmtId="0">
      <sharedItems containsSemiMixedTypes="0" containsString="0" containsNumber="1" containsInteger="1" minValue="0" maxValue="166465" count="35">
        <n v="17757"/>
        <n v="603"/>
        <n v="46"/>
        <n v="3286"/>
        <n v="16124"/>
        <n v="2512"/>
        <n v="18832"/>
        <n v="615"/>
        <n v="24186"/>
        <n v="577"/>
        <n v="24149"/>
        <n v="10819"/>
        <n v="1445"/>
        <n v="2384"/>
        <n v="7551"/>
        <n v="34387"/>
        <n v="2801"/>
        <n v="0"/>
        <n v="18251"/>
        <n v="166465"/>
        <n v="443"/>
        <n v="152"/>
        <n v="188"/>
        <n v="235"/>
        <n v="9072"/>
        <n v="466"/>
        <n v="10775"/>
        <n v="23147"/>
        <n v="163"/>
        <n v="89648"/>
        <n v="6000"/>
        <n v="883"/>
        <n v="62490"/>
        <n v="4547"/>
        <n v="299"/>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uvanshika Rana" refreshedDate="46183.864582986113" createdVersion="8" refreshedVersion="8" minRefreshableVersion="3" recordCount="175" xr:uid="{3184CA81-8ACE-4D56-B882-32D002B08F18}">
  <cacheSource type="worksheet">
    <worksheetSource name="Table7_1"/>
  </cacheSource>
  <cacheFields count="4">
    <cacheField name="S.No." numFmtId="0">
      <sharedItems containsSemiMixedTypes="0" containsString="0" containsNumber="1" containsInteger="1" minValue="1" maxValue="35"/>
    </cacheField>
    <cacheField name="State/UT" numFmtId="0">
      <sharedItems count="35">
        <s v="Andhra Pradesh"/>
        <s v="Andaman and Nicobar"/>
        <s v="Arunachal Pradesh"/>
        <s v="Assam"/>
        <s v="Bihar"/>
        <s v="Chandigarh"/>
        <s v="Chhattisgarh"/>
        <s v="Daman &amp; Diu and Dadra &amp; Nagra Haveli"/>
        <s v="Delhi"/>
        <s v="Goa"/>
        <s v="Gujarat"/>
        <s v="Haryana"/>
        <s v="Himachal Pradesh"/>
        <s v="Jammu and Kashmir"/>
        <s v="Jharkhand"/>
        <s v="Karnataka"/>
        <s v="Kerala"/>
        <s v="Ladakh"/>
        <s v="Madhya Pradesh"/>
        <s v="Maharashtra"/>
        <s v="Manipur"/>
        <s v="Meghalaya"/>
        <s v="Mizoram"/>
        <s v="Nagaland"/>
        <s v="Odisha"/>
        <s v="Puducherry"/>
        <s v="Punjab"/>
        <s v="Rajasthan"/>
        <s v="Sikkim"/>
        <s v="Tamil Nadu"/>
        <s v="Telangana"/>
        <s v="Tripura"/>
        <s v="Uttar Pradesh"/>
        <s v="Uttarakhand"/>
        <s v="West Bengal"/>
      </sharedItems>
    </cacheField>
    <cacheField name="Years" numFmtId="0">
      <sharedItems count="5">
        <s v=" Public Toilte seats (2019)"/>
        <s v="Additional Seats (2020–Mar 2021)"/>
        <s v="Cumulative Seats till Mar 2021"/>
        <s v="Increase from Mar 2021 to Latest Available"/>
        <s v="Cumulative Seats till 2023"/>
      </sharedItems>
    </cacheField>
    <cacheField name="Public Toilet Seats" numFmtId="0">
      <sharedItems containsSemiMixedTypes="0" containsString="0" containsNumber="1" containsInteger="1" minValue="0" maxValue="166465"/>
    </cacheField>
  </cacheFields>
  <extLst>
    <ext xmlns:x14="http://schemas.microsoft.com/office/spreadsheetml/2009/9/main" uri="{725AE2AE-9491-48be-B2B4-4EB974FC3084}">
      <x14:pivotCacheDefinition pivotCacheId="2142907725"/>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uvanshika Rana" refreshedDate="46183.90230833333" createdVersion="8" refreshedVersion="8" minRefreshableVersion="3" recordCount="176" xr:uid="{B0FE5C1E-48AF-4B80-9BE6-814A2289831B}">
  <cacheSource type="worksheet">
    <worksheetSource ref="A1:E1048576" sheet="State_Year"/>
  </cacheSource>
  <cacheFields count="5">
    <cacheField name="S.No." numFmtId="0">
      <sharedItems containsString="0" containsBlank="1" containsNumber="1" containsInteger="1" minValue="1" maxValue="35"/>
    </cacheField>
    <cacheField name="State/UT" numFmtId="0">
      <sharedItems containsBlank="1" count="36">
        <s v="Andhra Pradesh"/>
        <s v="Andaman and Nicobar"/>
        <s v="Arunachal Pradesh"/>
        <s v="Assam"/>
        <s v="Bihar"/>
        <s v="Chandigarh"/>
        <s v="Chhattisgarh"/>
        <s v="Daman &amp; Diu and Dadra &amp; Nagra Haveli"/>
        <s v="Delhi"/>
        <s v="Goa"/>
        <s v="Gujarat"/>
        <s v="Haryana"/>
        <s v="Himachal Pradesh"/>
        <s v="Jammu and Kashmir"/>
        <s v="Jharkhand"/>
        <s v="Karnataka"/>
        <s v="Kerala"/>
        <s v="Ladakh"/>
        <s v="Madhya Pradesh"/>
        <s v="Maharashtra"/>
        <s v="Manipur"/>
        <s v="Meghalaya"/>
        <s v="Mizoram"/>
        <s v="Nagaland"/>
        <s v="Odisha"/>
        <s v="Puducherry"/>
        <s v="Punjab"/>
        <s v="Rajasthan"/>
        <s v="Sikkim"/>
        <s v="Tamil Nadu"/>
        <s v="Telangana"/>
        <s v="Tripura"/>
        <s v="Uttar Pradesh"/>
        <s v="Uttarakhand"/>
        <s v="West Bengal"/>
        <m/>
      </sharedItems>
    </cacheField>
    <cacheField name="Years" numFmtId="0">
      <sharedItems containsBlank="1"/>
    </cacheField>
    <cacheField name="Public Toilet Seats" numFmtId="0">
      <sharedItems containsString="0" containsBlank="1" containsNumber="1" containsInteger="1" minValue="0" maxValue="166465"/>
    </cacheField>
    <cacheField name="Region" numFmtId="0">
      <sharedItems containsBlank="1" count="8">
        <s v="South"/>
        <s v="Others"/>
        <s v="North-East"/>
        <s v="East"/>
        <s v="North"/>
        <s v="Central"/>
        <s v="West"/>
        <m/>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uvanshika Rana" refreshedDate="46183.962649884263" backgroundQuery="1" createdVersion="8" refreshedVersion="8" minRefreshableVersion="3" recordCount="0" supportSubquery="1" supportAdvancedDrill="1" xr:uid="{06BE5B10-1E88-462A-A360-A9567FA53FD3}">
  <cacheSource type="external" connectionId="6"/>
  <cacheFields count="4">
    <cacheField name="[Range 1].[State/UT].[State/UT]" caption="State/UT" numFmtId="0" hierarchy="7" level="1">
      <sharedItems containsBlank="1" count="36">
        <s v="Andaman and Nicobar"/>
        <s v="Andhra Pradesh"/>
        <s v="Arunachal Pradesh"/>
        <s v="Assam"/>
        <s v="Bihar"/>
        <s v="Chandigarh"/>
        <s v="Chhattisgarh"/>
        <s v="Daman &amp; Diu and Dadra &amp; Nagra Haveli"/>
        <s v="Delhi"/>
        <s v="Goa"/>
        <s v="Gujarat"/>
        <s v="Haryana"/>
        <s v="Himachal Pradesh"/>
        <s v="Jammu and Kashmir"/>
        <s v="Jharkhand"/>
        <s v="Karnataka"/>
        <s v="Kerala"/>
        <s v="Ladakh"/>
        <s v="Madhya Pradesh"/>
        <s v="Maharashtra"/>
        <s v="Manipur"/>
        <s v="Meghalaya"/>
        <s v="Mizoram"/>
        <s v="Nagaland"/>
        <s v="Odisha"/>
        <s v="Puducherry"/>
        <s v="Punjab"/>
        <s v="Rajasthan"/>
        <s v="Sikkim"/>
        <s v="Tamil Nadu"/>
        <s v="Telangana"/>
        <s v="Tripura"/>
        <s v="Uttar Pradesh"/>
        <s v="Uttarakhand"/>
        <s v="West Bengal"/>
        <m/>
      </sharedItems>
    </cacheField>
    <cacheField name="[Range].[State/UT].[State/UT]" caption="State/UT" numFmtId="0" hierarchy="1" level="1">
      <sharedItems count="5">
        <s v="Bihar"/>
        <s v="Jharkhand"/>
        <s v="Madhya Pradesh"/>
        <s v="Telangana"/>
        <s v="Uttar Pradesh"/>
      </sharedItems>
    </cacheField>
    <cacheField name="[Measures].[Sum of Increase from Mar 2021 to Latest Available]" caption="Sum of Increase from Mar 2021 to Latest Available" numFmtId="0" hierarchy="19" level="32767"/>
    <cacheField name="[Table5].[Select The year].[Select The year]" caption="Select The year" numFmtId="0" hierarchy="10" level="1">
      <sharedItems containsSemiMixedTypes="0" containsNonDate="0" containsString="0"/>
    </cacheField>
  </cacheFields>
  <cacheHierarchies count="24">
    <cacheHierarchy uniqueName="[Range].[S.No.]" caption="S.No." attribute="1" defaultMemberUniqueName="[Range].[S.No.].[All]" allUniqueName="[Range].[S.No.].[All]" dimensionUniqueName="[Range]" displayFolder="" count="0" memberValueDatatype="130" unbalanced="0"/>
    <cacheHierarchy uniqueName="[Range].[State/UT]" caption="State/UT" attribute="1" defaultMemberUniqueName="[Range].[State/UT].[All]" allUniqueName="[Range].[State/UT].[All]" dimensionUniqueName="[Range]" displayFolder="" count="2" memberValueDatatype="130" unbalanced="0">
      <fieldsUsage count="2">
        <fieldUsage x="-1"/>
        <fieldUsage x="1"/>
      </fieldsUsage>
    </cacheHierarchy>
    <cacheHierarchy uniqueName="[Range].[Public Toilte seats (2019)]" caption="Public Toilte seats (2019)" attribute="1" defaultMemberUniqueName="[Range].[Public Toilte seats (2019)].[All]" allUniqueName="[Range].[Public Toilte seats (2019)].[All]" dimensionUniqueName="[Range]" displayFolder="" count="0" memberValueDatatype="20" unbalanced="0"/>
    <cacheHierarchy uniqueName="[Range].[Additional Seats (2020–Mar 2021)]" caption="Additional Seats (2020–Mar 2021)" attribute="1" defaultMemberUniqueName="[Range].[Additional Seats (2020–Mar 2021)].[All]" allUniqueName="[Range].[Additional Seats (2020–Mar 2021)].[All]" dimensionUniqueName="[Range]" displayFolder="" count="0" memberValueDatatype="20" unbalanced="0"/>
    <cacheHierarchy uniqueName="[Range].[Cumulative Seats till Mar 2021]" caption="Cumulative Seats till Mar 2021" attribute="1" defaultMemberUniqueName="[Range].[Cumulative Seats till Mar 2021].[All]" allUniqueName="[Range].[Cumulative Seats till Mar 2021].[All]" dimensionUniqueName="[Range]" displayFolder="" count="0" memberValueDatatype="20" unbalanced="0"/>
    <cacheHierarchy uniqueName="[Range].[Increase from Mar 2021 to Latest Available]" caption="Increase from Mar 2021 to Latest Available" attribute="1" defaultMemberUniqueName="[Range].[Increase from Mar 2021 to Latest Available].[All]" allUniqueName="[Range].[Increase from Mar 2021 to Latest Available].[All]" dimensionUniqueName="[Range]" displayFolder="" count="0" memberValueDatatype="20" unbalanced="0"/>
    <cacheHierarchy uniqueName="[Range].[Cumulative Seats till 2023]" caption="Cumulative Seats till 2023" attribute="1" defaultMemberUniqueName="[Range].[Cumulative Seats till 2023].[All]" allUniqueName="[Range].[Cumulative Seats till 2023].[All]" dimensionUniqueName="[Range]" displayFolder="" count="0" memberValueDatatype="20" unbalanced="0"/>
    <cacheHierarchy uniqueName="[Range 1].[State/UT]" caption="State/UT" attribute="1" defaultMemberUniqueName="[Range 1].[State/UT].[All]" allUniqueName="[Range 1].[State/UT].[All]" dimensionUniqueName="[Range 1]" displayFolder="" count="2" memberValueDatatype="130" unbalanced="0">
      <fieldsUsage count="2">
        <fieldUsage x="-1"/>
        <fieldUsage x="0"/>
      </fieldsUsage>
    </cacheHierarchy>
    <cacheHierarchy uniqueName="[Range 1].[Public Toilte seats (2019)]" caption="Public Toilte seats (2019)" attribute="1" defaultMemberUniqueName="[Range 1].[Public Toilte seats (2019)].[All]" allUniqueName="[Range 1].[Public Toilte seats (2019)].[All]" dimensionUniqueName="[Range 1]" displayFolder="" count="0" memberValueDatatype="20" unbalanced="0"/>
    <cacheHierarchy uniqueName="[Table4].[Year]" caption="Year" attribute="1" defaultMemberUniqueName="[Table4].[Year].[All]" allUniqueName="[Table4].[Year].[All]" dimensionUniqueName="[Table4]" displayFolder="" count="0" memberValueDatatype="130" unbalanced="0"/>
    <cacheHierarchy uniqueName="[Table5].[Select The year]" caption="Select The year" attribute="1" defaultMemberUniqueName="[Table5].[Select The year].[All]" allUniqueName="[Table5].[Select The year].[All]" dimensionUniqueName="[Table5]" displayFolder="" count="2" memberValueDatatype="130" unbalanced="0">
      <fieldsUsage count="2">
        <fieldUsage x="-1"/>
        <fieldUsage x="3"/>
      </fieldsUsage>
    </cacheHierarchy>
    <cacheHierarchy uniqueName="[Table6].[Years]" caption="Years" attribute="1" defaultMemberUniqueName="[Table6].[Years].[All]" allUniqueName="[Table6].[Years].[All]" dimensionUniqueName="[Table6]" displayFolder="" count="0" memberValueDatatype="130" unbalanced="0"/>
    <cacheHierarchy uniqueName="[Measures].[__XL_Count Range]" caption="__XL_Count Range" measure="1" displayFolder="" measureGroup="Range" count="0" hidden="1"/>
    <cacheHierarchy uniqueName="[Measures].[__XL_Count Range 1]" caption="__XL_Count Range 1" measure="1" displayFolder="" measureGroup="Range 1" count="0" hidden="1"/>
    <cacheHierarchy uniqueName="[Measures].[__XL_Count Table5]" caption="__XL_Count Table5" measure="1" displayFolder="" measureGroup="Table5" count="0" hidden="1"/>
    <cacheHierarchy uniqueName="[Measures].[__XL_Count Table6]" caption="__XL_Count Table6" measure="1" displayFolder="" measureGroup="Table6" count="0" hidden="1"/>
    <cacheHierarchy uniqueName="[Measures].[__XL_Count Table4]" caption="__XL_Count Table4" measure="1" displayFolder="" measureGroup="Table4" count="0" hidden="1"/>
    <cacheHierarchy uniqueName="[Measures].[__No measures defined]" caption="__No measures defined" measure="1" displayFolder="" count="0" hidden="1"/>
    <cacheHierarchy uniqueName="[Measures].[Sum of Cumulative Seats till 2023]" caption="Sum of Cumulative Seats till 2023" measure="1" displayFolder="" measureGroup="Range" count="0" hidden="1">
      <extLst>
        <ext xmlns:x15="http://schemas.microsoft.com/office/spreadsheetml/2010/11/main" uri="{B97F6D7D-B522-45F9-BDA1-12C45D357490}">
          <x15:cacheHierarchy aggregatedColumn="6"/>
        </ext>
      </extLst>
    </cacheHierarchy>
    <cacheHierarchy uniqueName="[Measures].[Sum of Increase from Mar 2021 to Latest Available]" caption="Sum of Increase from Mar 2021 to Latest Available" measure="1" displayFolder="" measureGroup="Range" count="0" oneField="1" hidden="1">
      <fieldsUsage count="1">
        <fieldUsage x="2"/>
      </fieldsUsage>
      <extLst>
        <ext xmlns:x15="http://schemas.microsoft.com/office/spreadsheetml/2010/11/main" uri="{B97F6D7D-B522-45F9-BDA1-12C45D357490}">
          <x15:cacheHierarchy aggregatedColumn="5"/>
        </ext>
      </extLst>
    </cacheHierarchy>
    <cacheHierarchy uniqueName="[Measures].[Sum of Cumulative Seats till Mar 2021]" caption="Sum of Cumulative Seats till Mar 2021" measure="1" displayFolder="" measureGroup="Range" count="0" hidden="1">
      <extLst>
        <ext xmlns:x15="http://schemas.microsoft.com/office/spreadsheetml/2010/11/main" uri="{B97F6D7D-B522-45F9-BDA1-12C45D357490}">
          <x15:cacheHierarchy aggregatedColumn="4"/>
        </ext>
      </extLst>
    </cacheHierarchy>
    <cacheHierarchy uniqueName="[Measures].[Sum of Public Toilte seats (2019)]" caption="Sum of Public Toilte seats (2019)" measure="1" displayFolder="" measureGroup="Range" count="0" hidden="1">
      <extLst>
        <ext xmlns:x15="http://schemas.microsoft.com/office/spreadsheetml/2010/11/main" uri="{B97F6D7D-B522-45F9-BDA1-12C45D357490}">
          <x15:cacheHierarchy aggregatedColumn="2"/>
        </ext>
      </extLst>
    </cacheHierarchy>
    <cacheHierarchy uniqueName="[Measures].[Sum of Additional Seats (2020–Mar 2021)]" caption="Sum of Additional Seats (2020–Mar 2021)" measure="1" displayFolder="" measureGroup="Range" count="0" hidden="1">
      <extLst>
        <ext xmlns:x15="http://schemas.microsoft.com/office/spreadsheetml/2010/11/main" uri="{B97F6D7D-B522-45F9-BDA1-12C45D357490}">
          <x15:cacheHierarchy aggregatedColumn="3"/>
        </ext>
      </extLst>
    </cacheHierarchy>
    <cacheHierarchy uniqueName="[Measures].[Sum of Public Toilte seats (2019) 2]" caption="Sum of Public Toilte seats (2019) 2" measure="1" displayFolder="" measureGroup="Range 1" count="0" hidden="1">
      <extLst>
        <ext xmlns:x15="http://schemas.microsoft.com/office/spreadsheetml/2010/11/main" uri="{B97F6D7D-B522-45F9-BDA1-12C45D357490}">
          <x15:cacheHierarchy aggregatedColumn="8"/>
        </ext>
      </extLst>
    </cacheHierarchy>
  </cacheHierarchies>
  <kpis count="0"/>
  <dimensions count="6">
    <dimension measure="1" name="Measures" uniqueName="[Measures]" caption="Measures"/>
    <dimension name="Range" uniqueName="[Range]" caption="Range"/>
    <dimension name="Range 1" uniqueName="[Range 1]" caption="Range 1"/>
    <dimension name="Table4" uniqueName="[Table4]" caption="Table4"/>
    <dimension name="Table5" uniqueName="[Table5]" caption="Table5"/>
    <dimension name="Table6" uniqueName="[Table6]" caption="Table6"/>
  </dimensions>
  <measureGroups count="5">
    <measureGroup name="Range" caption="Range"/>
    <measureGroup name="Range 1" caption="Range 1"/>
    <measureGroup name="Table4" caption="Table4"/>
    <measureGroup name="Table5" caption="Table5"/>
    <measureGroup name="Table6" caption="Table6"/>
  </measureGroups>
  <maps count="6">
    <map measureGroup="0" dimension="1"/>
    <map measureGroup="0" dimension="2"/>
    <map measureGroup="1" dimension="2"/>
    <map measureGroup="2" dimension="3"/>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uvanshika Rana" refreshedDate="46183.962648726854" backgroundQuery="1" createdVersion="8" refreshedVersion="8" minRefreshableVersion="3" recordCount="0" supportSubquery="1" supportAdvancedDrill="1" xr:uid="{CC561901-F051-4EAE-BD7E-F176DE3ED398}">
  <cacheSource type="external" connectionId="6"/>
  <cacheFields count="4">
    <cacheField name="[Range 1].[State/UT].[State/UT]" caption="State/UT" numFmtId="0" hierarchy="7" level="1">
      <sharedItems count="35">
        <s v="Andaman and Nicobar"/>
        <s v="Andhra Pradesh"/>
        <s v="Arunachal Pradesh"/>
        <s v="Assam"/>
        <s v="Bihar"/>
        <s v="Chandigarh"/>
        <s v="Chhattisgarh"/>
        <s v="Daman &amp; Diu and Dadra &amp; Nagra Haveli"/>
        <s v="Delhi"/>
        <s v="Goa"/>
        <s v="Gujarat"/>
        <s v="Haryana"/>
        <s v="Himachal Pradesh"/>
        <s v="Jammu and Kashmir"/>
        <s v="Jharkhand"/>
        <s v="Karnataka"/>
        <s v="Kerala"/>
        <s v="Ladakh"/>
        <s v="Madhya Pradesh"/>
        <s v="Maharashtra"/>
        <s v="Manipur"/>
        <s v="Meghalaya"/>
        <s v="Mizoram"/>
        <s v="Nagaland"/>
        <s v="Odisha"/>
        <s v="Puducherry"/>
        <s v="Punjab"/>
        <s v="Rajasthan"/>
        <s v="Sikkim"/>
        <s v="Tamil Nadu"/>
        <s v="Telangana"/>
        <s v="Tripura"/>
        <s v="Uttar Pradesh"/>
        <s v="Uttarakhand"/>
        <s v="West Bengal"/>
      </sharedItems>
    </cacheField>
    <cacheField name="[Measures].[Sum of Additional Seats (2020–Mar 2021)]" caption="Sum of Additional Seats (2020–Mar 2021)" numFmtId="0" hierarchy="22" level="32767"/>
    <cacheField name="[Range].[State/UT].[State/UT]" caption="State/UT" numFmtId="0" hierarchy="1" level="1">
      <sharedItems count="5">
        <s v="Bihar"/>
        <s v="Rajasthan"/>
        <s v="Telangana"/>
        <s v="Uttar Pradesh"/>
        <s v="West Bengal"/>
      </sharedItems>
    </cacheField>
    <cacheField name="[Table5].[Select The year].[Select The year]" caption="Select The year" numFmtId="0" hierarchy="10" level="1">
      <sharedItems containsSemiMixedTypes="0" containsNonDate="0" containsString="0"/>
    </cacheField>
  </cacheFields>
  <cacheHierarchies count="24">
    <cacheHierarchy uniqueName="[Range].[S.No.]" caption="S.No." attribute="1" defaultMemberUniqueName="[Range].[S.No.].[All]" allUniqueName="[Range].[S.No.].[All]" dimensionUniqueName="[Range]" displayFolder="" count="0" memberValueDatatype="130" unbalanced="0"/>
    <cacheHierarchy uniqueName="[Range].[State/UT]" caption="State/UT" attribute="1" defaultMemberUniqueName="[Range].[State/UT].[All]" allUniqueName="[Range].[State/UT].[All]" dimensionUniqueName="[Range]" displayFolder="" count="2" memberValueDatatype="130" unbalanced="0">
      <fieldsUsage count="2">
        <fieldUsage x="-1"/>
        <fieldUsage x="2"/>
      </fieldsUsage>
    </cacheHierarchy>
    <cacheHierarchy uniqueName="[Range].[Public Toilte seats (2019)]" caption="Public Toilte seats (2019)" attribute="1" defaultMemberUniqueName="[Range].[Public Toilte seats (2019)].[All]" allUniqueName="[Range].[Public Toilte seats (2019)].[All]" dimensionUniqueName="[Range]" displayFolder="" count="0" memberValueDatatype="20" unbalanced="0"/>
    <cacheHierarchy uniqueName="[Range].[Additional Seats (2020–Mar 2021)]" caption="Additional Seats (2020–Mar 2021)" attribute="1" defaultMemberUniqueName="[Range].[Additional Seats (2020–Mar 2021)].[All]" allUniqueName="[Range].[Additional Seats (2020–Mar 2021)].[All]" dimensionUniqueName="[Range]" displayFolder="" count="0" memberValueDatatype="20" unbalanced="0"/>
    <cacheHierarchy uniqueName="[Range].[Cumulative Seats till Mar 2021]" caption="Cumulative Seats till Mar 2021" attribute="1" defaultMemberUniqueName="[Range].[Cumulative Seats till Mar 2021].[All]" allUniqueName="[Range].[Cumulative Seats till Mar 2021].[All]" dimensionUniqueName="[Range]" displayFolder="" count="0" memberValueDatatype="20" unbalanced="0"/>
    <cacheHierarchy uniqueName="[Range].[Increase from Mar 2021 to Latest Available]" caption="Increase from Mar 2021 to Latest Available" attribute="1" defaultMemberUniqueName="[Range].[Increase from Mar 2021 to Latest Available].[All]" allUniqueName="[Range].[Increase from Mar 2021 to Latest Available].[All]" dimensionUniqueName="[Range]" displayFolder="" count="0" memberValueDatatype="20" unbalanced="0"/>
    <cacheHierarchy uniqueName="[Range].[Cumulative Seats till 2023]" caption="Cumulative Seats till 2023" attribute="1" defaultMemberUniqueName="[Range].[Cumulative Seats till 2023].[All]" allUniqueName="[Range].[Cumulative Seats till 2023].[All]" dimensionUniqueName="[Range]" displayFolder="" count="0" memberValueDatatype="20" unbalanced="0"/>
    <cacheHierarchy uniqueName="[Range 1].[State/UT]" caption="State/UT" attribute="1" defaultMemberUniqueName="[Range 1].[State/UT].[All]" allUniqueName="[Range 1].[State/UT].[All]" dimensionUniqueName="[Range 1]" displayFolder="" count="2" memberValueDatatype="130" unbalanced="0">
      <fieldsUsage count="2">
        <fieldUsage x="-1"/>
        <fieldUsage x="0"/>
      </fieldsUsage>
    </cacheHierarchy>
    <cacheHierarchy uniqueName="[Range 1].[Public Toilte seats (2019)]" caption="Public Toilte seats (2019)" attribute="1" defaultMemberUniqueName="[Range 1].[Public Toilte seats (2019)].[All]" allUniqueName="[Range 1].[Public Toilte seats (2019)].[All]" dimensionUniqueName="[Range 1]" displayFolder="" count="0" memberValueDatatype="20" unbalanced="0"/>
    <cacheHierarchy uniqueName="[Table4].[Year]" caption="Year" attribute="1" defaultMemberUniqueName="[Table4].[Year].[All]" allUniqueName="[Table4].[Year].[All]" dimensionUniqueName="[Table4]" displayFolder="" count="0" memberValueDatatype="130" unbalanced="0"/>
    <cacheHierarchy uniqueName="[Table5].[Select The year]" caption="Select The year" attribute="1" defaultMemberUniqueName="[Table5].[Select The year].[All]" allUniqueName="[Table5].[Select The year].[All]" dimensionUniqueName="[Table5]" displayFolder="" count="2" memberValueDatatype="130" unbalanced="0">
      <fieldsUsage count="2">
        <fieldUsage x="-1"/>
        <fieldUsage x="3"/>
      </fieldsUsage>
    </cacheHierarchy>
    <cacheHierarchy uniqueName="[Table6].[Years]" caption="Years" attribute="1" defaultMemberUniqueName="[Table6].[Years].[All]" allUniqueName="[Table6].[Years].[All]" dimensionUniqueName="[Table6]" displayFolder="" count="0" memberValueDatatype="130" unbalanced="0"/>
    <cacheHierarchy uniqueName="[Measures].[__XL_Count Range]" caption="__XL_Count Range" measure="1" displayFolder="" measureGroup="Range" count="0" hidden="1"/>
    <cacheHierarchy uniqueName="[Measures].[__XL_Count Range 1]" caption="__XL_Count Range 1" measure="1" displayFolder="" measureGroup="Range 1" count="0" hidden="1"/>
    <cacheHierarchy uniqueName="[Measures].[__XL_Count Table5]" caption="__XL_Count Table5" measure="1" displayFolder="" measureGroup="Table5" count="0" hidden="1"/>
    <cacheHierarchy uniqueName="[Measures].[__XL_Count Table6]" caption="__XL_Count Table6" measure="1" displayFolder="" measureGroup="Table6" count="0" hidden="1"/>
    <cacheHierarchy uniqueName="[Measures].[__XL_Count Table4]" caption="__XL_Count Table4" measure="1" displayFolder="" measureGroup="Table4" count="0" hidden="1"/>
    <cacheHierarchy uniqueName="[Measures].[__No measures defined]" caption="__No measures defined" measure="1" displayFolder="" count="0" hidden="1"/>
    <cacheHierarchy uniqueName="[Measures].[Sum of Cumulative Seats till 2023]" caption="Sum of Cumulative Seats till 2023" measure="1" displayFolder="" measureGroup="Range" count="0" hidden="1">
      <extLst>
        <ext xmlns:x15="http://schemas.microsoft.com/office/spreadsheetml/2010/11/main" uri="{B97F6D7D-B522-45F9-BDA1-12C45D357490}">
          <x15:cacheHierarchy aggregatedColumn="6"/>
        </ext>
      </extLst>
    </cacheHierarchy>
    <cacheHierarchy uniqueName="[Measures].[Sum of Increase from Mar 2021 to Latest Available]" caption="Sum of Increase from Mar 2021 to Latest Available" measure="1" displayFolder="" measureGroup="Range" count="0" hidden="1">
      <extLst>
        <ext xmlns:x15="http://schemas.microsoft.com/office/spreadsheetml/2010/11/main" uri="{B97F6D7D-B522-45F9-BDA1-12C45D357490}">
          <x15:cacheHierarchy aggregatedColumn="5"/>
        </ext>
      </extLst>
    </cacheHierarchy>
    <cacheHierarchy uniqueName="[Measures].[Sum of Cumulative Seats till Mar 2021]" caption="Sum of Cumulative Seats till Mar 2021" measure="1" displayFolder="" measureGroup="Range" count="0" hidden="1">
      <extLst>
        <ext xmlns:x15="http://schemas.microsoft.com/office/spreadsheetml/2010/11/main" uri="{B97F6D7D-B522-45F9-BDA1-12C45D357490}">
          <x15:cacheHierarchy aggregatedColumn="4"/>
        </ext>
      </extLst>
    </cacheHierarchy>
    <cacheHierarchy uniqueName="[Measures].[Sum of Public Toilte seats (2019)]" caption="Sum of Public Toilte seats (2019)" measure="1" displayFolder="" measureGroup="Range" count="0" hidden="1">
      <extLst>
        <ext xmlns:x15="http://schemas.microsoft.com/office/spreadsheetml/2010/11/main" uri="{B97F6D7D-B522-45F9-BDA1-12C45D357490}">
          <x15:cacheHierarchy aggregatedColumn="2"/>
        </ext>
      </extLst>
    </cacheHierarchy>
    <cacheHierarchy uniqueName="[Measures].[Sum of Additional Seats (2020–Mar 2021)]" caption="Sum of Additional Seats (2020–Mar 2021)" measure="1" displayFolder="" measureGroup="Range" count="0" oneField="1" hidden="1">
      <fieldsUsage count="1">
        <fieldUsage x="1"/>
      </fieldsUsage>
      <extLst>
        <ext xmlns:x15="http://schemas.microsoft.com/office/spreadsheetml/2010/11/main" uri="{B97F6D7D-B522-45F9-BDA1-12C45D357490}">
          <x15:cacheHierarchy aggregatedColumn="3"/>
        </ext>
      </extLst>
    </cacheHierarchy>
    <cacheHierarchy uniqueName="[Measures].[Sum of Public Toilte seats (2019) 2]" caption="Sum of Public Toilte seats (2019) 2" measure="1" displayFolder="" measureGroup="Range 1" count="0" hidden="1">
      <extLst>
        <ext xmlns:x15="http://schemas.microsoft.com/office/spreadsheetml/2010/11/main" uri="{B97F6D7D-B522-45F9-BDA1-12C45D357490}">
          <x15:cacheHierarchy aggregatedColumn="8"/>
        </ext>
      </extLst>
    </cacheHierarchy>
  </cacheHierarchies>
  <kpis count="0"/>
  <dimensions count="6">
    <dimension measure="1" name="Measures" uniqueName="[Measures]" caption="Measures"/>
    <dimension name="Range" uniqueName="[Range]" caption="Range"/>
    <dimension name="Range 1" uniqueName="[Range 1]" caption="Range 1"/>
    <dimension name="Table4" uniqueName="[Table4]" caption="Table4"/>
    <dimension name="Table5" uniqueName="[Table5]" caption="Table5"/>
    <dimension name="Table6" uniqueName="[Table6]" caption="Table6"/>
  </dimensions>
  <measureGroups count="5">
    <measureGroup name="Range" caption="Range"/>
    <measureGroup name="Range 1" caption="Range 1"/>
    <measureGroup name="Table4" caption="Table4"/>
    <measureGroup name="Table5" caption="Table5"/>
    <measureGroup name="Table6" caption="Table6"/>
  </measureGroups>
  <maps count="6">
    <map measureGroup="0" dimension="1"/>
    <map measureGroup="0" dimension="2"/>
    <map measureGroup="1" dimension="2"/>
    <map measureGroup="2" dimension="3"/>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uvanshika Rana" refreshedDate="46183.962647685184" backgroundQuery="1" createdVersion="8" refreshedVersion="8" minRefreshableVersion="3" recordCount="0" supportSubquery="1" supportAdvancedDrill="1" xr:uid="{CD00B604-DAFD-477C-ACE0-8552EF4679DF}">
  <cacheSource type="external" connectionId="6"/>
  <cacheFields count="4">
    <cacheField name="[Measures].[Sum of Public Toilte seats (2019)]" caption="Sum of Public Toilte seats (2019)" numFmtId="0" hierarchy="21" level="32767"/>
    <cacheField name="[Measures].[Sum of Cumulative Seats till Mar 2021]" caption="Sum of Cumulative Seats till Mar 2021" numFmtId="0" hierarchy="20" level="32767"/>
    <cacheField name="[Measures].[Sum of Cumulative Seats till 2023]" caption="Sum of Cumulative Seats till 2023" numFmtId="0" hierarchy="18" level="32767"/>
    <cacheField name="[Table5].[Select The year].[Select The year]" caption="Select The year" numFmtId="0" hierarchy="10" level="1">
      <sharedItems containsSemiMixedTypes="0" containsNonDate="0" containsString="0"/>
    </cacheField>
  </cacheFields>
  <cacheHierarchies count="24">
    <cacheHierarchy uniqueName="[Range].[S.No.]" caption="S.No." attribute="1" defaultMemberUniqueName="[Range].[S.No.].[All]" allUniqueName="[Range].[S.No.].[All]" dimensionUniqueName="[Range]" displayFolder="" count="0" memberValueDatatype="130" unbalanced="0"/>
    <cacheHierarchy uniqueName="[Range].[State/UT]" caption="State/UT" attribute="1" defaultMemberUniqueName="[Range].[State/UT].[All]" allUniqueName="[Range].[State/UT].[All]" dimensionUniqueName="[Range]" displayFolder="" count="0" memberValueDatatype="130" unbalanced="0"/>
    <cacheHierarchy uniqueName="[Range].[Public Toilte seats (2019)]" caption="Public Toilte seats (2019)" attribute="1" defaultMemberUniqueName="[Range].[Public Toilte seats (2019)].[All]" allUniqueName="[Range].[Public Toilte seats (2019)].[All]" dimensionUniqueName="[Range]" displayFolder="" count="0" memberValueDatatype="20" unbalanced="0"/>
    <cacheHierarchy uniqueName="[Range].[Additional Seats (2020–Mar 2021)]" caption="Additional Seats (2020–Mar 2021)" attribute="1" defaultMemberUniqueName="[Range].[Additional Seats (2020–Mar 2021)].[All]" allUniqueName="[Range].[Additional Seats (2020–Mar 2021)].[All]" dimensionUniqueName="[Range]" displayFolder="" count="0" memberValueDatatype="20" unbalanced="0"/>
    <cacheHierarchy uniqueName="[Range].[Cumulative Seats till Mar 2021]" caption="Cumulative Seats till Mar 2021" attribute="1" defaultMemberUniqueName="[Range].[Cumulative Seats till Mar 2021].[All]" allUniqueName="[Range].[Cumulative Seats till Mar 2021].[All]" dimensionUniqueName="[Range]" displayFolder="" count="0" memberValueDatatype="20" unbalanced="0"/>
    <cacheHierarchy uniqueName="[Range].[Increase from Mar 2021 to Latest Available]" caption="Increase from Mar 2021 to Latest Available" attribute="1" defaultMemberUniqueName="[Range].[Increase from Mar 2021 to Latest Available].[All]" allUniqueName="[Range].[Increase from Mar 2021 to Latest Available].[All]" dimensionUniqueName="[Range]" displayFolder="" count="0" memberValueDatatype="20" unbalanced="0"/>
    <cacheHierarchy uniqueName="[Range].[Cumulative Seats till 2023]" caption="Cumulative Seats till 2023" attribute="1" defaultMemberUniqueName="[Range].[Cumulative Seats till 2023].[All]" allUniqueName="[Range].[Cumulative Seats till 2023].[All]" dimensionUniqueName="[Range]" displayFolder="" count="0" memberValueDatatype="20" unbalanced="0"/>
    <cacheHierarchy uniqueName="[Range 1].[State/UT]" caption="State/UT" attribute="1" defaultMemberUniqueName="[Range 1].[State/UT].[All]" allUniqueName="[Range 1].[State/UT].[All]" dimensionUniqueName="[Range 1]" displayFolder="" count="0" memberValueDatatype="130" unbalanced="0"/>
    <cacheHierarchy uniqueName="[Range 1].[Public Toilte seats (2019)]" caption="Public Toilte seats (2019)" attribute="1" defaultMemberUniqueName="[Range 1].[Public Toilte seats (2019)].[All]" allUniqueName="[Range 1].[Public Toilte seats (2019)].[All]" dimensionUniqueName="[Range 1]" displayFolder="" count="0" memberValueDatatype="20" unbalanced="0"/>
    <cacheHierarchy uniqueName="[Table4].[Year]" caption="Year" attribute="1" defaultMemberUniqueName="[Table4].[Year].[All]" allUniqueName="[Table4].[Year].[All]" dimensionUniqueName="[Table4]" displayFolder="" count="0" memberValueDatatype="130" unbalanced="0"/>
    <cacheHierarchy uniqueName="[Table5].[Select The year]" caption="Select The year" attribute="1" defaultMemberUniqueName="[Table5].[Select The year].[All]" allUniqueName="[Table5].[Select The year].[All]" dimensionUniqueName="[Table5]" displayFolder="" count="2" memberValueDatatype="130" unbalanced="0">
      <fieldsUsage count="2">
        <fieldUsage x="-1"/>
        <fieldUsage x="3"/>
      </fieldsUsage>
    </cacheHierarchy>
    <cacheHierarchy uniqueName="[Table6].[Years]" caption="Years" attribute="1" defaultMemberUniqueName="[Table6].[Years].[All]" allUniqueName="[Table6].[Years].[All]" dimensionUniqueName="[Table6]" displayFolder="" count="0" memberValueDatatype="130" unbalanced="0"/>
    <cacheHierarchy uniqueName="[Measures].[__XL_Count Range]" caption="__XL_Count Range" measure="1" displayFolder="" measureGroup="Range" count="0" hidden="1"/>
    <cacheHierarchy uniqueName="[Measures].[__XL_Count Range 1]" caption="__XL_Count Range 1" measure="1" displayFolder="" measureGroup="Range 1" count="0" hidden="1"/>
    <cacheHierarchy uniqueName="[Measures].[__XL_Count Table5]" caption="__XL_Count Table5" measure="1" displayFolder="" measureGroup="Table5" count="0" hidden="1"/>
    <cacheHierarchy uniqueName="[Measures].[__XL_Count Table6]" caption="__XL_Count Table6" measure="1" displayFolder="" measureGroup="Table6" count="0" hidden="1"/>
    <cacheHierarchy uniqueName="[Measures].[__XL_Count Table4]" caption="__XL_Count Table4" measure="1" displayFolder="" measureGroup="Table4" count="0" hidden="1"/>
    <cacheHierarchy uniqueName="[Measures].[__No measures defined]" caption="__No measures defined" measure="1" displayFolder="" count="0" hidden="1"/>
    <cacheHierarchy uniqueName="[Measures].[Sum of Cumulative Seats till 2023]" caption="Sum of Cumulative Seats till 2023" measure="1" displayFolder="" measureGroup="Range" count="0" oneField="1" hidden="1">
      <fieldsUsage count="1">
        <fieldUsage x="2"/>
      </fieldsUsage>
      <extLst>
        <ext xmlns:x15="http://schemas.microsoft.com/office/spreadsheetml/2010/11/main" uri="{B97F6D7D-B522-45F9-BDA1-12C45D357490}">
          <x15:cacheHierarchy aggregatedColumn="6"/>
        </ext>
      </extLst>
    </cacheHierarchy>
    <cacheHierarchy uniqueName="[Measures].[Sum of Increase from Mar 2021 to Latest Available]" caption="Sum of Increase from Mar 2021 to Latest Available" measure="1" displayFolder="" measureGroup="Range" count="0" hidden="1">
      <extLst>
        <ext xmlns:x15="http://schemas.microsoft.com/office/spreadsheetml/2010/11/main" uri="{B97F6D7D-B522-45F9-BDA1-12C45D357490}">
          <x15:cacheHierarchy aggregatedColumn="5"/>
        </ext>
      </extLst>
    </cacheHierarchy>
    <cacheHierarchy uniqueName="[Measures].[Sum of Cumulative Seats till Mar 2021]" caption="Sum of Cumulative Seats till Mar 2021" measure="1" displayFolder="" measureGroup="Range"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Public Toilte seats (2019)]" caption="Sum of Public Toilte seats (2019)" measure="1" displayFolder="" measureGroup="Rang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Additional Seats (2020–Mar 2021)]" caption="Sum of Additional Seats (2020–Mar 2021)" measure="1" displayFolder="" measureGroup="Range" count="0" hidden="1">
      <extLst>
        <ext xmlns:x15="http://schemas.microsoft.com/office/spreadsheetml/2010/11/main" uri="{B97F6D7D-B522-45F9-BDA1-12C45D357490}">
          <x15:cacheHierarchy aggregatedColumn="3"/>
        </ext>
      </extLst>
    </cacheHierarchy>
    <cacheHierarchy uniqueName="[Measures].[Sum of Public Toilte seats (2019) 2]" caption="Sum of Public Toilte seats (2019) 2" measure="1" displayFolder="" measureGroup="Range 1" count="0" hidden="1">
      <extLst>
        <ext xmlns:x15="http://schemas.microsoft.com/office/spreadsheetml/2010/11/main" uri="{B97F6D7D-B522-45F9-BDA1-12C45D357490}">
          <x15:cacheHierarchy aggregatedColumn="8"/>
        </ext>
      </extLst>
    </cacheHierarchy>
  </cacheHierarchies>
  <kpis count="0"/>
  <dimensions count="6">
    <dimension measure="1" name="Measures" uniqueName="[Measures]" caption="Measures"/>
    <dimension name="Range" uniqueName="[Range]" caption="Range"/>
    <dimension name="Range 1" uniqueName="[Range 1]" caption="Range 1"/>
    <dimension name="Table4" uniqueName="[Table4]" caption="Table4"/>
    <dimension name="Table5" uniqueName="[Table5]" caption="Table5"/>
    <dimension name="Table6" uniqueName="[Table6]" caption="Table6"/>
  </dimensions>
  <measureGroups count="5">
    <measureGroup name="Range" caption="Range"/>
    <measureGroup name="Range 1" caption="Range 1"/>
    <measureGroup name="Table4" caption="Table4"/>
    <measureGroup name="Table5" caption="Table5"/>
    <measureGroup name="Table6" caption="Table6"/>
  </measureGroups>
  <maps count="6">
    <map measureGroup="0" dimension="1"/>
    <map measureGroup="0" dimension="2"/>
    <map measureGroup="1" dimension="2"/>
    <map measureGroup="2" dimension="3"/>
    <map measureGroup="3"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
  <r>
    <x v="0"/>
    <x v="0"/>
  </r>
  <r>
    <x v="1"/>
    <x v="1"/>
  </r>
  <r>
    <x v="2"/>
    <x v="2"/>
  </r>
  <r>
    <x v="3"/>
    <x v="3"/>
  </r>
  <r>
    <x v="4"/>
    <x v="4"/>
  </r>
  <r>
    <x v="5"/>
    <x v="5"/>
  </r>
  <r>
    <x v="6"/>
    <x v="6"/>
  </r>
  <r>
    <x v="7"/>
    <x v="7"/>
  </r>
  <r>
    <x v="8"/>
    <x v="8"/>
  </r>
  <r>
    <x v="9"/>
    <x v="9"/>
  </r>
  <r>
    <x v="10"/>
    <x v="10"/>
  </r>
  <r>
    <x v="11"/>
    <x v="11"/>
  </r>
  <r>
    <x v="12"/>
    <x v="12"/>
  </r>
  <r>
    <x v="13"/>
    <x v="13"/>
  </r>
  <r>
    <x v="14"/>
    <x v="14"/>
  </r>
  <r>
    <x v="15"/>
    <x v="15"/>
  </r>
  <r>
    <x v="16"/>
    <x v="16"/>
  </r>
  <r>
    <x v="17"/>
    <x v="17"/>
  </r>
  <r>
    <x v="18"/>
    <x v="18"/>
  </r>
  <r>
    <x v="19"/>
    <x v="19"/>
  </r>
  <r>
    <x v="20"/>
    <x v="20"/>
  </r>
  <r>
    <x v="21"/>
    <x v="21"/>
  </r>
  <r>
    <x v="22"/>
    <x v="22"/>
  </r>
  <r>
    <x v="23"/>
    <x v="23"/>
  </r>
  <r>
    <x v="24"/>
    <x v="24"/>
  </r>
  <r>
    <x v="25"/>
    <x v="25"/>
  </r>
  <r>
    <x v="26"/>
    <x v="26"/>
  </r>
  <r>
    <x v="27"/>
    <x v="27"/>
  </r>
  <r>
    <x v="28"/>
    <x v="28"/>
  </r>
  <r>
    <x v="29"/>
    <x v="29"/>
  </r>
  <r>
    <x v="30"/>
    <x v="30"/>
  </r>
  <r>
    <x v="31"/>
    <x v="31"/>
  </r>
  <r>
    <x v="32"/>
    <x v="32"/>
  </r>
  <r>
    <x v="33"/>
    <x v="33"/>
  </r>
  <r>
    <x v="34"/>
    <x v="34"/>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1"/>
    <x v="0"/>
    <x v="0"/>
    <n v="17757"/>
  </r>
  <r>
    <n v="1"/>
    <x v="0"/>
    <x v="1"/>
    <n v="40"/>
  </r>
  <r>
    <n v="1"/>
    <x v="0"/>
    <x v="2"/>
    <n v="17797"/>
  </r>
  <r>
    <n v="1"/>
    <x v="0"/>
    <x v="3"/>
    <n v="2"/>
  </r>
  <r>
    <n v="1"/>
    <x v="0"/>
    <x v="4"/>
    <n v="17799"/>
  </r>
  <r>
    <n v="2"/>
    <x v="1"/>
    <x v="0"/>
    <n v="603"/>
  </r>
  <r>
    <n v="2"/>
    <x v="1"/>
    <x v="1"/>
    <n v="0"/>
  </r>
  <r>
    <n v="2"/>
    <x v="1"/>
    <x v="2"/>
    <n v="603"/>
  </r>
  <r>
    <n v="2"/>
    <x v="1"/>
    <x v="3"/>
    <n v="6"/>
  </r>
  <r>
    <n v="2"/>
    <x v="1"/>
    <x v="4"/>
    <n v="609"/>
  </r>
  <r>
    <n v="3"/>
    <x v="2"/>
    <x v="0"/>
    <n v="46"/>
  </r>
  <r>
    <n v="3"/>
    <x v="2"/>
    <x v="1"/>
    <n v="0"/>
  </r>
  <r>
    <n v="3"/>
    <x v="2"/>
    <x v="2"/>
    <n v="46"/>
  </r>
  <r>
    <n v="3"/>
    <x v="2"/>
    <x v="3"/>
    <n v="43"/>
  </r>
  <r>
    <n v="3"/>
    <x v="2"/>
    <x v="4"/>
    <n v="89"/>
  </r>
  <r>
    <n v="4"/>
    <x v="3"/>
    <x v="0"/>
    <n v="3286"/>
  </r>
  <r>
    <n v="4"/>
    <x v="3"/>
    <x v="1"/>
    <n v="64"/>
  </r>
  <r>
    <n v="4"/>
    <x v="3"/>
    <x v="2"/>
    <n v="3350"/>
  </r>
  <r>
    <n v="4"/>
    <x v="3"/>
    <x v="3"/>
    <n v="6"/>
  </r>
  <r>
    <n v="4"/>
    <x v="3"/>
    <x v="4"/>
    <n v="3356"/>
  </r>
  <r>
    <n v="5"/>
    <x v="4"/>
    <x v="0"/>
    <n v="16124"/>
  </r>
  <r>
    <n v="5"/>
    <x v="4"/>
    <x v="1"/>
    <n v="4754"/>
  </r>
  <r>
    <n v="5"/>
    <x v="4"/>
    <x v="2"/>
    <n v="20878"/>
  </r>
  <r>
    <n v="5"/>
    <x v="4"/>
    <x v="3"/>
    <n v="7799"/>
  </r>
  <r>
    <n v="5"/>
    <x v="4"/>
    <x v="4"/>
    <n v="28677"/>
  </r>
  <r>
    <n v="6"/>
    <x v="5"/>
    <x v="0"/>
    <n v="2512"/>
  </r>
  <r>
    <n v="6"/>
    <x v="5"/>
    <x v="1"/>
    <n v="0"/>
  </r>
  <r>
    <n v="6"/>
    <x v="5"/>
    <x v="2"/>
    <n v="2512"/>
  </r>
  <r>
    <n v="6"/>
    <x v="5"/>
    <x v="3"/>
    <n v="0"/>
  </r>
  <r>
    <n v="6"/>
    <x v="5"/>
    <x v="4"/>
    <n v="2512"/>
  </r>
  <r>
    <n v="7"/>
    <x v="6"/>
    <x v="0"/>
    <n v="18832"/>
  </r>
  <r>
    <n v="7"/>
    <x v="6"/>
    <x v="1"/>
    <n v="0"/>
  </r>
  <r>
    <n v="7"/>
    <x v="6"/>
    <x v="2"/>
    <n v="18832"/>
  </r>
  <r>
    <n v="7"/>
    <x v="6"/>
    <x v="3"/>
    <n v="0"/>
  </r>
  <r>
    <n v="7"/>
    <x v="6"/>
    <x v="4"/>
    <n v="18832"/>
  </r>
  <r>
    <n v="8"/>
    <x v="7"/>
    <x v="0"/>
    <n v="615"/>
  </r>
  <r>
    <n v="8"/>
    <x v="7"/>
    <x v="1"/>
    <n v="0"/>
  </r>
  <r>
    <n v="8"/>
    <x v="7"/>
    <x v="2"/>
    <n v="615"/>
  </r>
  <r>
    <n v="8"/>
    <x v="7"/>
    <x v="3"/>
    <n v="0"/>
  </r>
  <r>
    <n v="8"/>
    <x v="7"/>
    <x v="4"/>
    <n v="615"/>
  </r>
  <r>
    <n v="9"/>
    <x v="8"/>
    <x v="0"/>
    <n v="24186"/>
  </r>
  <r>
    <n v="9"/>
    <x v="8"/>
    <x v="1"/>
    <n v="4070"/>
  </r>
  <r>
    <n v="9"/>
    <x v="8"/>
    <x v="2"/>
    <n v="28256"/>
  </r>
  <r>
    <n v="9"/>
    <x v="8"/>
    <x v="3"/>
    <n v="0"/>
  </r>
  <r>
    <n v="9"/>
    <x v="8"/>
    <x v="4"/>
    <n v="28256"/>
  </r>
  <r>
    <n v="10"/>
    <x v="9"/>
    <x v="0"/>
    <n v="577"/>
  </r>
  <r>
    <n v="10"/>
    <x v="9"/>
    <x v="1"/>
    <n v="270"/>
  </r>
  <r>
    <n v="10"/>
    <x v="9"/>
    <x v="2"/>
    <n v="847"/>
  </r>
  <r>
    <n v="10"/>
    <x v="9"/>
    <x v="3"/>
    <n v="423"/>
  </r>
  <r>
    <n v="10"/>
    <x v="9"/>
    <x v="4"/>
    <n v="1270"/>
  </r>
  <r>
    <n v="11"/>
    <x v="10"/>
    <x v="0"/>
    <n v="24149"/>
  </r>
  <r>
    <n v="11"/>
    <x v="10"/>
    <x v="1"/>
    <n v="0"/>
  </r>
  <r>
    <n v="11"/>
    <x v="10"/>
    <x v="2"/>
    <n v="24149"/>
  </r>
  <r>
    <n v="11"/>
    <x v="10"/>
    <x v="3"/>
    <n v="0"/>
  </r>
  <r>
    <n v="11"/>
    <x v="10"/>
    <x v="4"/>
    <n v="24149"/>
  </r>
  <r>
    <n v="12"/>
    <x v="11"/>
    <x v="0"/>
    <n v="10819"/>
  </r>
  <r>
    <n v="12"/>
    <x v="11"/>
    <x v="1"/>
    <n v="555"/>
  </r>
  <r>
    <n v="12"/>
    <x v="11"/>
    <x v="2"/>
    <n v="11374"/>
  </r>
  <r>
    <n v="12"/>
    <x v="11"/>
    <x v="3"/>
    <n v="0"/>
  </r>
  <r>
    <n v="12"/>
    <x v="11"/>
    <x v="4"/>
    <n v="11374"/>
  </r>
  <r>
    <n v="13"/>
    <x v="12"/>
    <x v="0"/>
    <n v="1445"/>
  </r>
  <r>
    <n v="13"/>
    <x v="12"/>
    <x v="1"/>
    <n v="122"/>
  </r>
  <r>
    <n v="13"/>
    <x v="12"/>
    <x v="2"/>
    <n v="1567"/>
  </r>
  <r>
    <n v="13"/>
    <x v="12"/>
    <x v="3"/>
    <n v="133"/>
  </r>
  <r>
    <n v="13"/>
    <x v="12"/>
    <x v="4"/>
    <n v="1700"/>
  </r>
  <r>
    <n v="14"/>
    <x v="13"/>
    <x v="0"/>
    <n v="2384"/>
  </r>
  <r>
    <n v="14"/>
    <x v="13"/>
    <x v="1"/>
    <n v="945"/>
  </r>
  <r>
    <n v="14"/>
    <x v="13"/>
    <x v="2"/>
    <n v="3329"/>
  </r>
  <r>
    <n v="14"/>
    <x v="13"/>
    <x v="3"/>
    <n v="122"/>
  </r>
  <r>
    <n v="14"/>
    <x v="13"/>
    <x v="4"/>
    <n v="3451"/>
  </r>
  <r>
    <n v="15"/>
    <x v="14"/>
    <x v="0"/>
    <n v="7551"/>
  </r>
  <r>
    <n v="15"/>
    <x v="14"/>
    <x v="1"/>
    <n v="1181"/>
  </r>
  <r>
    <n v="15"/>
    <x v="14"/>
    <x v="2"/>
    <n v="8732"/>
  </r>
  <r>
    <n v="15"/>
    <x v="14"/>
    <x v="3"/>
    <n v="911"/>
  </r>
  <r>
    <n v="15"/>
    <x v="14"/>
    <x v="4"/>
    <n v="9643"/>
  </r>
  <r>
    <n v="16"/>
    <x v="15"/>
    <x v="0"/>
    <n v="34387"/>
  </r>
  <r>
    <n v="16"/>
    <x v="15"/>
    <x v="1"/>
    <n v="2169"/>
  </r>
  <r>
    <n v="16"/>
    <x v="15"/>
    <x v="2"/>
    <n v="36556"/>
  </r>
  <r>
    <n v="16"/>
    <x v="15"/>
    <x v="3"/>
    <n v="0"/>
  </r>
  <r>
    <n v="16"/>
    <x v="15"/>
    <x v="4"/>
    <n v="36556"/>
  </r>
  <r>
    <n v="17"/>
    <x v="16"/>
    <x v="0"/>
    <n v="2801"/>
  </r>
  <r>
    <n v="17"/>
    <x v="16"/>
    <x v="1"/>
    <n v="2"/>
  </r>
  <r>
    <n v="17"/>
    <x v="16"/>
    <x v="2"/>
    <n v="2803"/>
  </r>
  <r>
    <n v="17"/>
    <x v="16"/>
    <x v="3"/>
    <n v="69"/>
  </r>
  <r>
    <n v="17"/>
    <x v="16"/>
    <x v="4"/>
    <n v="2872"/>
  </r>
  <r>
    <n v="18"/>
    <x v="17"/>
    <x v="0"/>
    <n v="0"/>
  </r>
  <r>
    <n v="18"/>
    <x v="17"/>
    <x v="1"/>
    <n v="194"/>
  </r>
  <r>
    <n v="18"/>
    <x v="17"/>
    <x v="2"/>
    <n v="194"/>
  </r>
  <r>
    <n v="18"/>
    <x v="17"/>
    <x v="3"/>
    <n v="0"/>
  </r>
  <r>
    <n v="18"/>
    <x v="17"/>
    <x v="4"/>
    <n v="194"/>
  </r>
  <r>
    <n v="19"/>
    <x v="18"/>
    <x v="0"/>
    <n v="18251"/>
  </r>
  <r>
    <n v="19"/>
    <x v="18"/>
    <x v="1"/>
    <n v="1481"/>
  </r>
  <r>
    <n v="19"/>
    <x v="18"/>
    <x v="2"/>
    <n v="19732"/>
  </r>
  <r>
    <n v="19"/>
    <x v="18"/>
    <x v="3"/>
    <n v="10135"/>
  </r>
  <r>
    <n v="19"/>
    <x v="18"/>
    <x v="4"/>
    <n v="29867"/>
  </r>
  <r>
    <n v="20"/>
    <x v="19"/>
    <x v="0"/>
    <n v="166465"/>
  </r>
  <r>
    <n v="20"/>
    <x v="19"/>
    <x v="1"/>
    <n v="0"/>
  </r>
  <r>
    <n v="20"/>
    <x v="19"/>
    <x v="2"/>
    <n v="166465"/>
  </r>
  <r>
    <n v="20"/>
    <x v="19"/>
    <x v="3"/>
    <n v="0"/>
  </r>
  <r>
    <n v="20"/>
    <x v="19"/>
    <x v="4"/>
    <n v="166465"/>
  </r>
  <r>
    <n v="21"/>
    <x v="20"/>
    <x v="0"/>
    <n v="443"/>
  </r>
  <r>
    <n v="21"/>
    <x v="20"/>
    <x v="1"/>
    <n v="69"/>
  </r>
  <r>
    <n v="21"/>
    <x v="20"/>
    <x v="2"/>
    <n v="512"/>
  </r>
  <r>
    <n v="21"/>
    <x v="20"/>
    <x v="3"/>
    <n v="69"/>
  </r>
  <r>
    <n v="21"/>
    <x v="20"/>
    <x v="4"/>
    <n v="581"/>
  </r>
  <r>
    <n v="22"/>
    <x v="21"/>
    <x v="0"/>
    <n v="152"/>
  </r>
  <r>
    <n v="22"/>
    <x v="21"/>
    <x v="1"/>
    <n v="0"/>
  </r>
  <r>
    <n v="22"/>
    <x v="21"/>
    <x v="2"/>
    <n v="152"/>
  </r>
  <r>
    <n v="22"/>
    <x v="21"/>
    <x v="3"/>
    <n v="0"/>
  </r>
  <r>
    <n v="22"/>
    <x v="21"/>
    <x v="4"/>
    <n v="152"/>
  </r>
  <r>
    <n v="23"/>
    <x v="22"/>
    <x v="0"/>
    <n v="188"/>
  </r>
  <r>
    <n v="23"/>
    <x v="22"/>
    <x v="1"/>
    <n v="393"/>
  </r>
  <r>
    <n v="23"/>
    <x v="22"/>
    <x v="2"/>
    <n v="581"/>
  </r>
  <r>
    <n v="23"/>
    <x v="22"/>
    <x v="3"/>
    <n v="743"/>
  </r>
  <r>
    <n v="23"/>
    <x v="22"/>
    <x v="4"/>
    <n v="1324"/>
  </r>
  <r>
    <n v="24"/>
    <x v="23"/>
    <x v="0"/>
    <n v="235"/>
  </r>
  <r>
    <n v="24"/>
    <x v="23"/>
    <x v="1"/>
    <n v="0"/>
  </r>
  <r>
    <n v="24"/>
    <x v="23"/>
    <x v="2"/>
    <n v="235"/>
  </r>
  <r>
    <n v="24"/>
    <x v="23"/>
    <x v="3"/>
    <n v="3"/>
  </r>
  <r>
    <n v="24"/>
    <x v="23"/>
    <x v="4"/>
    <n v="238"/>
  </r>
  <r>
    <n v="25"/>
    <x v="24"/>
    <x v="0"/>
    <n v="9072"/>
  </r>
  <r>
    <n v="25"/>
    <x v="24"/>
    <x v="1"/>
    <n v="2927"/>
  </r>
  <r>
    <n v="25"/>
    <x v="24"/>
    <x v="2"/>
    <n v="11999"/>
  </r>
  <r>
    <n v="25"/>
    <x v="24"/>
    <x v="3"/>
    <n v="212"/>
  </r>
  <r>
    <n v="25"/>
    <x v="24"/>
    <x v="4"/>
    <n v="12211"/>
  </r>
  <r>
    <n v="26"/>
    <x v="25"/>
    <x v="0"/>
    <n v="466"/>
  </r>
  <r>
    <n v="26"/>
    <x v="25"/>
    <x v="1"/>
    <n v="370"/>
  </r>
  <r>
    <n v="26"/>
    <x v="25"/>
    <x v="2"/>
    <n v="836"/>
  </r>
  <r>
    <n v="26"/>
    <x v="25"/>
    <x v="3"/>
    <n v="0"/>
  </r>
  <r>
    <n v="26"/>
    <x v="25"/>
    <x v="4"/>
    <n v="836"/>
  </r>
  <r>
    <n v="27"/>
    <x v="26"/>
    <x v="0"/>
    <n v="10775"/>
  </r>
  <r>
    <n v="27"/>
    <x v="26"/>
    <x v="1"/>
    <n v="613"/>
  </r>
  <r>
    <n v="27"/>
    <x v="26"/>
    <x v="2"/>
    <n v="11388"/>
  </r>
  <r>
    <n v="27"/>
    <x v="26"/>
    <x v="3"/>
    <n v="134"/>
  </r>
  <r>
    <n v="27"/>
    <x v="26"/>
    <x v="4"/>
    <n v="11522"/>
  </r>
  <r>
    <n v="28"/>
    <x v="27"/>
    <x v="0"/>
    <n v="23147"/>
  </r>
  <r>
    <n v="28"/>
    <x v="27"/>
    <x v="1"/>
    <n v="8153"/>
  </r>
  <r>
    <n v="28"/>
    <x v="27"/>
    <x v="2"/>
    <n v="31300"/>
  </r>
  <r>
    <n v="28"/>
    <x v="27"/>
    <x v="3"/>
    <n v="0"/>
  </r>
  <r>
    <n v="28"/>
    <x v="27"/>
    <x v="4"/>
    <n v="31300"/>
  </r>
  <r>
    <n v="29"/>
    <x v="28"/>
    <x v="0"/>
    <n v="163"/>
  </r>
  <r>
    <n v="29"/>
    <x v="28"/>
    <x v="1"/>
    <n v="0"/>
  </r>
  <r>
    <n v="29"/>
    <x v="28"/>
    <x v="2"/>
    <n v="163"/>
  </r>
  <r>
    <n v="29"/>
    <x v="28"/>
    <x v="3"/>
    <n v="105"/>
  </r>
  <r>
    <n v="29"/>
    <x v="28"/>
    <x v="4"/>
    <n v="268"/>
  </r>
  <r>
    <n v="30"/>
    <x v="29"/>
    <x v="0"/>
    <n v="89648"/>
  </r>
  <r>
    <n v="30"/>
    <x v="29"/>
    <x v="1"/>
    <n v="3096"/>
  </r>
  <r>
    <n v="30"/>
    <x v="29"/>
    <x v="2"/>
    <n v="92744"/>
  </r>
  <r>
    <n v="30"/>
    <x v="29"/>
    <x v="3"/>
    <n v="0"/>
  </r>
  <r>
    <n v="30"/>
    <x v="29"/>
    <x v="4"/>
    <n v="92744"/>
  </r>
  <r>
    <n v="31"/>
    <x v="30"/>
    <x v="0"/>
    <n v="6000"/>
  </r>
  <r>
    <n v="31"/>
    <x v="30"/>
    <x v="1"/>
    <n v="4209"/>
  </r>
  <r>
    <n v="31"/>
    <x v="30"/>
    <x v="2"/>
    <n v="10209"/>
  </r>
  <r>
    <n v="31"/>
    <x v="30"/>
    <x v="3"/>
    <n v="5256"/>
  </r>
  <r>
    <n v="31"/>
    <x v="30"/>
    <x v="4"/>
    <n v="15465"/>
  </r>
  <r>
    <n v="32"/>
    <x v="31"/>
    <x v="0"/>
    <n v="883"/>
  </r>
  <r>
    <n v="32"/>
    <x v="31"/>
    <x v="1"/>
    <n v="190"/>
  </r>
  <r>
    <n v="32"/>
    <x v="31"/>
    <x v="2"/>
    <n v="1073"/>
  </r>
  <r>
    <n v="32"/>
    <x v="31"/>
    <x v="3"/>
    <n v="16"/>
  </r>
  <r>
    <n v="32"/>
    <x v="31"/>
    <x v="4"/>
    <n v="1089"/>
  </r>
  <r>
    <n v="33"/>
    <x v="32"/>
    <x v="0"/>
    <n v="62490"/>
  </r>
  <r>
    <n v="33"/>
    <x v="32"/>
    <x v="1"/>
    <n v="6802"/>
  </r>
  <r>
    <n v="33"/>
    <x v="32"/>
    <x v="2"/>
    <n v="69292"/>
  </r>
  <r>
    <n v="33"/>
    <x v="32"/>
    <x v="3"/>
    <n v="1078"/>
  </r>
  <r>
    <n v="33"/>
    <x v="32"/>
    <x v="4"/>
    <n v="70370"/>
  </r>
  <r>
    <n v="34"/>
    <x v="33"/>
    <x v="0"/>
    <n v="4547"/>
  </r>
  <r>
    <n v="34"/>
    <x v="33"/>
    <x v="1"/>
    <n v="95"/>
  </r>
  <r>
    <n v="34"/>
    <x v="33"/>
    <x v="2"/>
    <n v="4642"/>
  </r>
  <r>
    <n v="34"/>
    <x v="33"/>
    <x v="3"/>
    <n v="52"/>
  </r>
  <r>
    <n v="34"/>
    <x v="33"/>
    <x v="4"/>
    <n v="4694"/>
  </r>
  <r>
    <n v="35"/>
    <x v="34"/>
    <x v="0"/>
    <n v="299"/>
  </r>
  <r>
    <n v="35"/>
    <x v="34"/>
    <x v="1"/>
    <n v="5447"/>
  </r>
  <r>
    <n v="35"/>
    <x v="34"/>
    <x v="2"/>
    <n v="5746"/>
  </r>
  <r>
    <n v="35"/>
    <x v="34"/>
    <x v="3"/>
    <n v="0"/>
  </r>
  <r>
    <n v="35"/>
    <x v="34"/>
    <x v="4"/>
    <n v="5746"/>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6">
  <r>
    <n v="1"/>
    <x v="0"/>
    <s v=" Public Toilte seats (2019)"/>
    <n v="17757"/>
    <x v="0"/>
  </r>
  <r>
    <n v="1"/>
    <x v="0"/>
    <s v="Additional Seats (2020–Mar 2021)"/>
    <n v="40"/>
    <x v="0"/>
  </r>
  <r>
    <n v="1"/>
    <x v="0"/>
    <s v="Cumulative Seats till Mar 2021"/>
    <n v="17797"/>
    <x v="0"/>
  </r>
  <r>
    <n v="1"/>
    <x v="0"/>
    <s v="Increase from Mar 2021 to Latest Available"/>
    <n v="2"/>
    <x v="0"/>
  </r>
  <r>
    <n v="1"/>
    <x v="0"/>
    <s v="Cumulative Seats till 2023"/>
    <n v="17799"/>
    <x v="0"/>
  </r>
  <r>
    <n v="2"/>
    <x v="1"/>
    <s v=" Public Toilte seats (2019)"/>
    <n v="603"/>
    <x v="1"/>
  </r>
  <r>
    <n v="2"/>
    <x v="1"/>
    <s v="Additional Seats (2020–Mar 2021)"/>
    <n v="0"/>
    <x v="1"/>
  </r>
  <r>
    <n v="2"/>
    <x v="1"/>
    <s v="Cumulative Seats till Mar 2021"/>
    <n v="603"/>
    <x v="1"/>
  </r>
  <r>
    <n v="2"/>
    <x v="1"/>
    <s v="Increase from Mar 2021 to Latest Available"/>
    <n v="6"/>
    <x v="1"/>
  </r>
  <r>
    <n v="2"/>
    <x v="1"/>
    <s v="Cumulative Seats till 2023"/>
    <n v="609"/>
    <x v="1"/>
  </r>
  <r>
    <n v="3"/>
    <x v="2"/>
    <s v=" Public Toilte seats (2019)"/>
    <n v="46"/>
    <x v="2"/>
  </r>
  <r>
    <n v="3"/>
    <x v="2"/>
    <s v="Additional Seats (2020–Mar 2021)"/>
    <n v="0"/>
    <x v="2"/>
  </r>
  <r>
    <n v="3"/>
    <x v="2"/>
    <s v="Cumulative Seats till Mar 2021"/>
    <n v="46"/>
    <x v="2"/>
  </r>
  <r>
    <n v="3"/>
    <x v="2"/>
    <s v="Increase from Mar 2021 to Latest Available"/>
    <n v="43"/>
    <x v="2"/>
  </r>
  <r>
    <n v="3"/>
    <x v="2"/>
    <s v="Cumulative Seats till 2023"/>
    <n v="89"/>
    <x v="2"/>
  </r>
  <r>
    <n v="4"/>
    <x v="3"/>
    <s v=" Public Toilte seats (2019)"/>
    <n v="3286"/>
    <x v="2"/>
  </r>
  <r>
    <n v="4"/>
    <x v="3"/>
    <s v="Additional Seats (2020–Mar 2021)"/>
    <n v="64"/>
    <x v="2"/>
  </r>
  <r>
    <n v="4"/>
    <x v="3"/>
    <s v="Cumulative Seats till Mar 2021"/>
    <n v="3350"/>
    <x v="2"/>
  </r>
  <r>
    <n v="4"/>
    <x v="3"/>
    <s v="Increase from Mar 2021 to Latest Available"/>
    <n v="6"/>
    <x v="2"/>
  </r>
  <r>
    <n v="4"/>
    <x v="3"/>
    <s v="Cumulative Seats till 2023"/>
    <n v="3356"/>
    <x v="2"/>
  </r>
  <r>
    <n v="5"/>
    <x v="4"/>
    <s v=" Public Toilte seats (2019)"/>
    <n v="16124"/>
    <x v="3"/>
  </r>
  <r>
    <n v="5"/>
    <x v="4"/>
    <s v="Additional Seats (2020–Mar 2021)"/>
    <n v="4754"/>
    <x v="3"/>
  </r>
  <r>
    <n v="5"/>
    <x v="4"/>
    <s v="Cumulative Seats till Mar 2021"/>
    <n v="20878"/>
    <x v="3"/>
  </r>
  <r>
    <n v="5"/>
    <x v="4"/>
    <s v="Increase from Mar 2021 to Latest Available"/>
    <n v="7799"/>
    <x v="3"/>
  </r>
  <r>
    <n v="5"/>
    <x v="4"/>
    <s v="Cumulative Seats till 2023"/>
    <n v="28677"/>
    <x v="3"/>
  </r>
  <r>
    <n v="6"/>
    <x v="5"/>
    <s v=" Public Toilte seats (2019)"/>
    <n v="2512"/>
    <x v="4"/>
  </r>
  <r>
    <n v="6"/>
    <x v="5"/>
    <s v="Additional Seats (2020–Mar 2021)"/>
    <n v="0"/>
    <x v="4"/>
  </r>
  <r>
    <n v="6"/>
    <x v="5"/>
    <s v="Cumulative Seats till Mar 2021"/>
    <n v="2512"/>
    <x v="4"/>
  </r>
  <r>
    <n v="6"/>
    <x v="5"/>
    <s v="Increase from Mar 2021 to Latest Available"/>
    <n v="0"/>
    <x v="4"/>
  </r>
  <r>
    <n v="6"/>
    <x v="5"/>
    <s v="Cumulative Seats till 2023"/>
    <n v="2512"/>
    <x v="4"/>
  </r>
  <r>
    <n v="7"/>
    <x v="6"/>
    <s v=" Public Toilte seats (2019)"/>
    <n v="18832"/>
    <x v="5"/>
  </r>
  <r>
    <n v="7"/>
    <x v="6"/>
    <s v="Additional Seats (2020–Mar 2021)"/>
    <n v="0"/>
    <x v="5"/>
  </r>
  <r>
    <n v="7"/>
    <x v="6"/>
    <s v="Cumulative Seats till Mar 2021"/>
    <n v="18832"/>
    <x v="5"/>
  </r>
  <r>
    <n v="7"/>
    <x v="6"/>
    <s v="Increase from Mar 2021 to Latest Available"/>
    <n v="0"/>
    <x v="5"/>
  </r>
  <r>
    <n v="7"/>
    <x v="6"/>
    <s v="Cumulative Seats till 2023"/>
    <n v="18832"/>
    <x v="5"/>
  </r>
  <r>
    <n v="8"/>
    <x v="7"/>
    <s v=" Public Toilte seats (2019)"/>
    <n v="615"/>
    <x v="1"/>
  </r>
  <r>
    <n v="8"/>
    <x v="7"/>
    <s v="Additional Seats (2020–Mar 2021)"/>
    <n v="0"/>
    <x v="1"/>
  </r>
  <r>
    <n v="8"/>
    <x v="7"/>
    <s v="Cumulative Seats till Mar 2021"/>
    <n v="615"/>
    <x v="1"/>
  </r>
  <r>
    <n v="8"/>
    <x v="7"/>
    <s v="Increase from Mar 2021 to Latest Available"/>
    <n v="0"/>
    <x v="1"/>
  </r>
  <r>
    <n v="8"/>
    <x v="7"/>
    <s v="Cumulative Seats till 2023"/>
    <n v="615"/>
    <x v="1"/>
  </r>
  <r>
    <n v="9"/>
    <x v="8"/>
    <s v=" Public Toilte seats (2019)"/>
    <n v="24186"/>
    <x v="4"/>
  </r>
  <r>
    <n v="9"/>
    <x v="8"/>
    <s v="Additional Seats (2020–Mar 2021)"/>
    <n v="4070"/>
    <x v="4"/>
  </r>
  <r>
    <n v="9"/>
    <x v="8"/>
    <s v="Cumulative Seats till Mar 2021"/>
    <n v="28256"/>
    <x v="4"/>
  </r>
  <r>
    <n v="9"/>
    <x v="8"/>
    <s v="Increase from Mar 2021 to Latest Available"/>
    <n v="0"/>
    <x v="4"/>
  </r>
  <r>
    <n v="9"/>
    <x v="8"/>
    <s v="Cumulative Seats till 2023"/>
    <n v="28256"/>
    <x v="4"/>
  </r>
  <r>
    <n v="10"/>
    <x v="9"/>
    <s v=" Public Toilte seats (2019)"/>
    <n v="577"/>
    <x v="6"/>
  </r>
  <r>
    <n v="10"/>
    <x v="9"/>
    <s v="Additional Seats (2020–Mar 2021)"/>
    <n v="270"/>
    <x v="6"/>
  </r>
  <r>
    <n v="10"/>
    <x v="9"/>
    <s v="Cumulative Seats till Mar 2021"/>
    <n v="847"/>
    <x v="6"/>
  </r>
  <r>
    <n v="10"/>
    <x v="9"/>
    <s v="Increase from Mar 2021 to Latest Available"/>
    <n v="423"/>
    <x v="6"/>
  </r>
  <r>
    <n v="10"/>
    <x v="9"/>
    <s v="Cumulative Seats till 2023"/>
    <n v="1270"/>
    <x v="6"/>
  </r>
  <r>
    <n v="11"/>
    <x v="10"/>
    <s v=" Public Toilte seats (2019)"/>
    <n v="24149"/>
    <x v="6"/>
  </r>
  <r>
    <n v="11"/>
    <x v="10"/>
    <s v="Additional Seats (2020–Mar 2021)"/>
    <n v="0"/>
    <x v="6"/>
  </r>
  <r>
    <n v="11"/>
    <x v="10"/>
    <s v="Cumulative Seats till Mar 2021"/>
    <n v="24149"/>
    <x v="6"/>
  </r>
  <r>
    <n v="11"/>
    <x v="10"/>
    <s v="Increase from Mar 2021 to Latest Available"/>
    <n v="0"/>
    <x v="6"/>
  </r>
  <r>
    <n v="11"/>
    <x v="10"/>
    <s v="Cumulative Seats till 2023"/>
    <n v="24149"/>
    <x v="6"/>
  </r>
  <r>
    <n v="12"/>
    <x v="11"/>
    <s v=" Public Toilte seats (2019)"/>
    <n v="10819"/>
    <x v="4"/>
  </r>
  <r>
    <n v="12"/>
    <x v="11"/>
    <s v="Additional Seats (2020–Mar 2021)"/>
    <n v="555"/>
    <x v="4"/>
  </r>
  <r>
    <n v="12"/>
    <x v="11"/>
    <s v="Cumulative Seats till Mar 2021"/>
    <n v="11374"/>
    <x v="4"/>
  </r>
  <r>
    <n v="12"/>
    <x v="11"/>
    <s v="Increase from Mar 2021 to Latest Available"/>
    <n v="0"/>
    <x v="4"/>
  </r>
  <r>
    <n v="12"/>
    <x v="11"/>
    <s v="Cumulative Seats till 2023"/>
    <n v="11374"/>
    <x v="4"/>
  </r>
  <r>
    <n v="13"/>
    <x v="12"/>
    <s v=" Public Toilte seats (2019)"/>
    <n v="1445"/>
    <x v="4"/>
  </r>
  <r>
    <n v="13"/>
    <x v="12"/>
    <s v="Additional Seats (2020–Mar 2021)"/>
    <n v="122"/>
    <x v="4"/>
  </r>
  <r>
    <n v="13"/>
    <x v="12"/>
    <s v="Cumulative Seats till Mar 2021"/>
    <n v="1567"/>
    <x v="4"/>
  </r>
  <r>
    <n v="13"/>
    <x v="12"/>
    <s v="Increase from Mar 2021 to Latest Available"/>
    <n v="133"/>
    <x v="4"/>
  </r>
  <r>
    <n v="13"/>
    <x v="12"/>
    <s v="Cumulative Seats till 2023"/>
    <n v="1700"/>
    <x v="4"/>
  </r>
  <r>
    <n v="14"/>
    <x v="13"/>
    <s v=" Public Toilte seats (2019)"/>
    <n v="2384"/>
    <x v="4"/>
  </r>
  <r>
    <n v="14"/>
    <x v="13"/>
    <s v="Additional Seats (2020–Mar 2021)"/>
    <n v="945"/>
    <x v="4"/>
  </r>
  <r>
    <n v="14"/>
    <x v="13"/>
    <s v="Cumulative Seats till Mar 2021"/>
    <n v="3329"/>
    <x v="4"/>
  </r>
  <r>
    <n v="14"/>
    <x v="13"/>
    <s v="Increase from Mar 2021 to Latest Available"/>
    <n v="122"/>
    <x v="4"/>
  </r>
  <r>
    <n v="14"/>
    <x v="13"/>
    <s v="Cumulative Seats till 2023"/>
    <n v="3451"/>
    <x v="4"/>
  </r>
  <r>
    <n v="15"/>
    <x v="14"/>
    <s v=" Public Toilte seats (2019)"/>
    <n v="7551"/>
    <x v="3"/>
  </r>
  <r>
    <n v="15"/>
    <x v="14"/>
    <s v="Additional Seats (2020–Mar 2021)"/>
    <n v="1181"/>
    <x v="3"/>
  </r>
  <r>
    <n v="15"/>
    <x v="14"/>
    <s v="Cumulative Seats till Mar 2021"/>
    <n v="8732"/>
    <x v="3"/>
  </r>
  <r>
    <n v="15"/>
    <x v="14"/>
    <s v="Increase from Mar 2021 to Latest Available"/>
    <n v="911"/>
    <x v="3"/>
  </r>
  <r>
    <n v="15"/>
    <x v="14"/>
    <s v="Cumulative Seats till 2023"/>
    <n v="9643"/>
    <x v="3"/>
  </r>
  <r>
    <n v="16"/>
    <x v="15"/>
    <s v=" Public Toilte seats (2019)"/>
    <n v="34387"/>
    <x v="0"/>
  </r>
  <r>
    <n v="16"/>
    <x v="15"/>
    <s v="Additional Seats (2020–Mar 2021)"/>
    <n v="2169"/>
    <x v="0"/>
  </r>
  <r>
    <n v="16"/>
    <x v="15"/>
    <s v="Cumulative Seats till Mar 2021"/>
    <n v="36556"/>
    <x v="0"/>
  </r>
  <r>
    <n v="16"/>
    <x v="15"/>
    <s v="Increase from Mar 2021 to Latest Available"/>
    <n v="0"/>
    <x v="0"/>
  </r>
  <r>
    <n v="16"/>
    <x v="15"/>
    <s v="Cumulative Seats till 2023"/>
    <n v="36556"/>
    <x v="0"/>
  </r>
  <r>
    <n v="17"/>
    <x v="16"/>
    <s v=" Public Toilte seats (2019)"/>
    <n v="2801"/>
    <x v="0"/>
  </r>
  <r>
    <n v="17"/>
    <x v="16"/>
    <s v="Additional Seats (2020–Mar 2021)"/>
    <n v="2"/>
    <x v="0"/>
  </r>
  <r>
    <n v="17"/>
    <x v="16"/>
    <s v="Cumulative Seats till Mar 2021"/>
    <n v="2803"/>
    <x v="0"/>
  </r>
  <r>
    <n v="17"/>
    <x v="16"/>
    <s v="Increase from Mar 2021 to Latest Available"/>
    <n v="69"/>
    <x v="0"/>
  </r>
  <r>
    <n v="17"/>
    <x v="16"/>
    <s v="Cumulative Seats till 2023"/>
    <n v="2872"/>
    <x v="0"/>
  </r>
  <r>
    <n v="18"/>
    <x v="17"/>
    <s v=" Public Toilte seats (2019)"/>
    <n v="0"/>
    <x v="4"/>
  </r>
  <r>
    <n v="18"/>
    <x v="17"/>
    <s v="Additional Seats (2020–Mar 2021)"/>
    <n v="194"/>
    <x v="4"/>
  </r>
  <r>
    <n v="18"/>
    <x v="17"/>
    <s v="Cumulative Seats till Mar 2021"/>
    <n v="194"/>
    <x v="4"/>
  </r>
  <r>
    <n v="18"/>
    <x v="17"/>
    <s v="Increase from Mar 2021 to Latest Available"/>
    <n v="0"/>
    <x v="4"/>
  </r>
  <r>
    <n v="18"/>
    <x v="17"/>
    <s v="Cumulative Seats till 2023"/>
    <n v="194"/>
    <x v="4"/>
  </r>
  <r>
    <n v="19"/>
    <x v="18"/>
    <s v=" Public Toilte seats (2019)"/>
    <n v="18251"/>
    <x v="5"/>
  </r>
  <r>
    <n v="19"/>
    <x v="18"/>
    <s v="Additional Seats (2020–Mar 2021)"/>
    <n v="1481"/>
    <x v="5"/>
  </r>
  <r>
    <n v="19"/>
    <x v="18"/>
    <s v="Cumulative Seats till Mar 2021"/>
    <n v="19732"/>
    <x v="5"/>
  </r>
  <r>
    <n v="19"/>
    <x v="18"/>
    <s v="Increase from Mar 2021 to Latest Available"/>
    <n v="10135"/>
    <x v="5"/>
  </r>
  <r>
    <n v="19"/>
    <x v="18"/>
    <s v="Cumulative Seats till 2023"/>
    <n v="29867"/>
    <x v="5"/>
  </r>
  <r>
    <n v="20"/>
    <x v="19"/>
    <s v=" Public Toilte seats (2019)"/>
    <n v="166465"/>
    <x v="6"/>
  </r>
  <r>
    <n v="20"/>
    <x v="19"/>
    <s v="Additional Seats (2020–Mar 2021)"/>
    <n v="0"/>
    <x v="6"/>
  </r>
  <r>
    <n v="20"/>
    <x v="19"/>
    <s v="Cumulative Seats till Mar 2021"/>
    <n v="166465"/>
    <x v="6"/>
  </r>
  <r>
    <n v="20"/>
    <x v="19"/>
    <s v="Increase from Mar 2021 to Latest Available"/>
    <n v="0"/>
    <x v="6"/>
  </r>
  <r>
    <n v="20"/>
    <x v="19"/>
    <s v="Cumulative Seats till 2023"/>
    <n v="166465"/>
    <x v="6"/>
  </r>
  <r>
    <n v="21"/>
    <x v="20"/>
    <s v=" Public Toilte seats (2019)"/>
    <n v="443"/>
    <x v="2"/>
  </r>
  <r>
    <n v="21"/>
    <x v="20"/>
    <s v="Additional Seats (2020–Mar 2021)"/>
    <n v="69"/>
    <x v="2"/>
  </r>
  <r>
    <n v="21"/>
    <x v="20"/>
    <s v="Cumulative Seats till Mar 2021"/>
    <n v="512"/>
    <x v="2"/>
  </r>
  <r>
    <n v="21"/>
    <x v="20"/>
    <s v="Increase from Mar 2021 to Latest Available"/>
    <n v="69"/>
    <x v="2"/>
  </r>
  <r>
    <n v="21"/>
    <x v="20"/>
    <s v="Cumulative Seats till 2023"/>
    <n v="581"/>
    <x v="2"/>
  </r>
  <r>
    <n v="22"/>
    <x v="21"/>
    <s v=" Public Toilte seats (2019)"/>
    <n v="152"/>
    <x v="2"/>
  </r>
  <r>
    <n v="22"/>
    <x v="21"/>
    <s v="Additional Seats (2020–Mar 2021)"/>
    <n v="0"/>
    <x v="2"/>
  </r>
  <r>
    <n v="22"/>
    <x v="21"/>
    <s v="Cumulative Seats till Mar 2021"/>
    <n v="152"/>
    <x v="2"/>
  </r>
  <r>
    <n v="22"/>
    <x v="21"/>
    <s v="Increase from Mar 2021 to Latest Available"/>
    <n v="0"/>
    <x v="2"/>
  </r>
  <r>
    <n v="22"/>
    <x v="21"/>
    <s v="Cumulative Seats till 2023"/>
    <n v="152"/>
    <x v="2"/>
  </r>
  <r>
    <n v="23"/>
    <x v="22"/>
    <s v=" Public Toilte seats (2019)"/>
    <n v="188"/>
    <x v="2"/>
  </r>
  <r>
    <n v="23"/>
    <x v="22"/>
    <s v="Additional Seats (2020–Mar 2021)"/>
    <n v="393"/>
    <x v="2"/>
  </r>
  <r>
    <n v="23"/>
    <x v="22"/>
    <s v="Cumulative Seats till Mar 2021"/>
    <n v="581"/>
    <x v="2"/>
  </r>
  <r>
    <n v="23"/>
    <x v="22"/>
    <s v="Increase from Mar 2021 to Latest Available"/>
    <n v="743"/>
    <x v="2"/>
  </r>
  <r>
    <n v="23"/>
    <x v="22"/>
    <s v="Cumulative Seats till 2023"/>
    <n v="1324"/>
    <x v="2"/>
  </r>
  <r>
    <n v="24"/>
    <x v="23"/>
    <s v=" Public Toilte seats (2019)"/>
    <n v="235"/>
    <x v="2"/>
  </r>
  <r>
    <n v="24"/>
    <x v="23"/>
    <s v="Additional Seats (2020–Mar 2021)"/>
    <n v="0"/>
    <x v="2"/>
  </r>
  <r>
    <n v="24"/>
    <x v="23"/>
    <s v="Cumulative Seats till Mar 2021"/>
    <n v="235"/>
    <x v="2"/>
  </r>
  <r>
    <n v="24"/>
    <x v="23"/>
    <s v="Increase from Mar 2021 to Latest Available"/>
    <n v="3"/>
    <x v="2"/>
  </r>
  <r>
    <n v="24"/>
    <x v="23"/>
    <s v="Cumulative Seats till 2023"/>
    <n v="238"/>
    <x v="2"/>
  </r>
  <r>
    <n v="25"/>
    <x v="24"/>
    <s v=" Public Toilte seats (2019)"/>
    <n v="9072"/>
    <x v="3"/>
  </r>
  <r>
    <n v="25"/>
    <x v="24"/>
    <s v="Additional Seats (2020–Mar 2021)"/>
    <n v="2927"/>
    <x v="3"/>
  </r>
  <r>
    <n v="25"/>
    <x v="24"/>
    <s v="Cumulative Seats till Mar 2021"/>
    <n v="11999"/>
    <x v="3"/>
  </r>
  <r>
    <n v="25"/>
    <x v="24"/>
    <s v="Increase from Mar 2021 to Latest Available"/>
    <n v="212"/>
    <x v="3"/>
  </r>
  <r>
    <n v="25"/>
    <x v="24"/>
    <s v="Cumulative Seats till 2023"/>
    <n v="12211"/>
    <x v="3"/>
  </r>
  <r>
    <n v="26"/>
    <x v="25"/>
    <s v=" Public Toilte seats (2019)"/>
    <n v="466"/>
    <x v="0"/>
  </r>
  <r>
    <n v="26"/>
    <x v="25"/>
    <s v="Additional Seats (2020–Mar 2021)"/>
    <n v="370"/>
    <x v="0"/>
  </r>
  <r>
    <n v="26"/>
    <x v="25"/>
    <s v="Cumulative Seats till Mar 2021"/>
    <n v="836"/>
    <x v="0"/>
  </r>
  <r>
    <n v="26"/>
    <x v="25"/>
    <s v="Increase from Mar 2021 to Latest Available"/>
    <n v="0"/>
    <x v="0"/>
  </r>
  <r>
    <n v="26"/>
    <x v="25"/>
    <s v="Cumulative Seats till 2023"/>
    <n v="836"/>
    <x v="0"/>
  </r>
  <r>
    <n v="27"/>
    <x v="26"/>
    <s v=" Public Toilte seats (2019)"/>
    <n v="10775"/>
    <x v="4"/>
  </r>
  <r>
    <n v="27"/>
    <x v="26"/>
    <s v="Additional Seats (2020–Mar 2021)"/>
    <n v="613"/>
    <x v="4"/>
  </r>
  <r>
    <n v="27"/>
    <x v="26"/>
    <s v="Cumulative Seats till Mar 2021"/>
    <n v="11388"/>
    <x v="4"/>
  </r>
  <r>
    <n v="27"/>
    <x v="26"/>
    <s v="Increase from Mar 2021 to Latest Available"/>
    <n v="134"/>
    <x v="4"/>
  </r>
  <r>
    <n v="27"/>
    <x v="26"/>
    <s v="Cumulative Seats till 2023"/>
    <n v="11522"/>
    <x v="4"/>
  </r>
  <r>
    <n v="28"/>
    <x v="27"/>
    <s v=" Public Toilte seats (2019)"/>
    <n v="23147"/>
    <x v="4"/>
  </r>
  <r>
    <n v="28"/>
    <x v="27"/>
    <s v="Additional Seats (2020–Mar 2021)"/>
    <n v="8153"/>
    <x v="4"/>
  </r>
  <r>
    <n v="28"/>
    <x v="27"/>
    <s v="Cumulative Seats till Mar 2021"/>
    <n v="31300"/>
    <x v="4"/>
  </r>
  <r>
    <n v="28"/>
    <x v="27"/>
    <s v="Increase from Mar 2021 to Latest Available"/>
    <n v="0"/>
    <x v="4"/>
  </r>
  <r>
    <n v="28"/>
    <x v="27"/>
    <s v="Cumulative Seats till 2023"/>
    <n v="31300"/>
    <x v="4"/>
  </r>
  <r>
    <n v="29"/>
    <x v="28"/>
    <s v=" Public Toilte seats (2019)"/>
    <n v="163"/>
    <x v="2"/>
  </r>
  <r>
    <n v="29"/>
    <x v="28"/>
    <s v="Additional Seats (2020–Mar 2021)"/>
    <n v="0"/>
    <x v="2"/>
  </r>
  <r>
    <n v="29"/>
    <x v="28"/>
    <s v="Cumulative Seats till Mar 2021"/>
    <n v="163"/>
    <x v="2"/>
  </r>
  <r>
    <n v="29"/>
    <x v="28"/>
    <s v="Increase from Mar 2021 to Latest Available"/>
    <n v="105"/>
    <x v="2"/>
  </r>
  <r>
    <n v="29"/>
    <x v="28"/>
    <s v="Cumulative Seats till 2023"/>
    <n v="268"/>
    <x v="2"/>
  </r>
  <r>
    <n v="30"/>
    <x v="29"/>
    <s v=" Public Toilte seats (2019)"/>
    <n v="89648"/>
    <x v="0"/>
  </r>
  <r>
    <n v="30"/>
    <x v="29"/>
    <s v="Additional Seats (2020–Mar 2021)"/>
    <n v="3096"/>
    <x v="0"/>
  </r>
  <r>
    <n v="30"/>
    <x v="29"/>
    <s v="Cumulative Seats till Mar 2021"/>
    <n v="92744"/>
    <x v="0"/>
  </r>
  <r>
    <n v="30"/>
    <x v="29"/>
    <s v="Increase from Mar 2021 to Latest Available"/>
    <n v="0"/>
    <x v="0"/>
  </r>
  <r>
    <n v="30"/>
    <x v="29"/>
    <s v="Cumulative Seats till 2023"/>
    <n v="92744"/>
    <x v="0"/>
  </r>
  <r>
    <n v="31"/>
    <x v="30"/>
    <s v=" Public Toilte seats (2019)"/>
    <n v="6000"/>
    <x v="0"/>
  </r>
  <r>
    <n v="31"/>
    <x v="30"/>
    <s v="Additional Seats (2020–Mar 2021)"/>
    <n v="4209"/>
    <x v="0"/>
  </r>
  <r>
    <n v="31"/>
    <x v="30"/>
    <s v="Cumulative Seats till Mar 2021"/>
    <n v="10209"/>
    <x v="0"/>
  </r>
  <r>
    <n v="31"/>
    <x v="30"/>
    <s v="Increase from Mar 2021 to Latest Available"/>
    <n v="5256"/>
    <x v="0"/>
  </r>
  <r>
    <n v="31"/>
    <x v="30"/>
    <s v="Cumulative Seats till 2023"/>
    <n v="15465"/>
    <x v="0"/>
  </r>
  <r>
    <n v="32"/>
    <x v="31"/>
    <s v=" Public Toilte seats (2019)"/>
    <n v="883"/>
    <x v="2"/>
  </r>
  <r>
    <n v="32"/>
    <x v="31"/>
    <s v="Additional Seats (2020–Mar 2021)"/>
    <n v="190"/>
    <x v="2"/>
  </r>
  <r>
    <n v="32"/>
    <x v="31"/>
    <s v="Cumulative Seats till Mar 2021"/>
    <n v="1073"/>
    <x v="2"/>
  </r>
  <r>
    <n v="32"/>
    <x v="31"/>
    <s v="Increase from Mar 2021 to Latest Available"/>
    <n v="16"/>
    <x v="2"/>
  </r>
  <r>
    <n v="32"/>
    <x v="31"/>
    <s v="Cumulative Seats till 2023"/>
    <n v="1089"/>
    <x v="2"/>
  </r>
  <r>
    <n v="33"/>
    <x v="32"/>
    <s v=" Public Toilte seats (2019)"/>
    <n v="62490"/>
    <x v="5"/>
  </r>
  <r>
    <n v="33"/>
    <x v="32"/>
    <s v="Additional Seats (2020–Mar 2021)"/>
    <n v="6802"/>
    <x v="5"/>
  </r>
  <r>
    <n v="33"/>
    <x v="32"/>
    <s v="Cumulative Seats till Mar 2021"/>
    <n v="69292"/>
    <x v="5"/>
  </r>
  <r>
    <n v="33"/>
    <x v="32"/>
    <s v="Increase from Mar 2021 to Latest Available"/>
    <n v="1078"/>
    <x v="5"/>
  </r>
  <r>
    <n v="33"/>
    <x v="32"/>
    <s v="Cumulative Seats till 2023"/>
    <n v="70370"/>
    <x v="5"/>
  </r>
  <r>
    <n v="34"/>
    <x v="33"/>
    <s v=" Public Toilte seats (2019)"/>
    <n v="4547"/>
    <x v="4"/>
  </r>
  <r>
    <n v="34"/>
    <x v="33"/>
    <s v="Additional Seats (2020–Mar 2021)"/>
    <n v="95"/>
    <x v="4"/>
  </r>
  <r>
    <n v="34"/>
    <x v="33"/>
    <s v="Cumulative Seats till Mar 2021"/>
    <n v="4642"/>
    <x v="4"/>
  </r>
  <r>
    <n v="34"/>
    <x v="33"/>
    <s v="Increase from Mar 2021 to Latest Available"/>
    <n v="52"/>
    <x v="4"/>
  </r>
  <r>
    <n v="34"/>
    <x v="33"/>
    <s v="Cumulative Seats till 2023"/>
    <n v="4694"/>
    <x v="4"/>
  </r>
  <r>
    <n v="35"/>
    <x v="34"/>
    <s v=" Public Toilte seats (2019)"/>
    <n v="299"/>
    <x v="3"/>
  </r>
  <r>
    <n v="35"/>
    <x v="34"/>
    <s v="Additional Seats (2020–Mar 2021)"/>
    <n v="5447"/>
    <x v="3"/>
  </r>
  <r>
    <n v="35"/>
    <x v="34"/>
    <s v="Cumulative Seats till Mar 2021"/>
    <n v="5746"/>
    <x v="3"/>
  </r>
  <r>
    <n v="35"/>
    <x v="34"/>
    <s v="Increase from Mar 2021 to Latest Available"/>
    <n v="0"/>
    <x v="3"/>
  </r>
  <r>
    <n v="35"/>
    <x v="34"/>
    <s v="Cumulative Seats till 2023"/>
    <n v="5746"/>
    <x v="3"/>
  </r>
  <r>
    <m/>
    <x v="35"/>
    <m/>
    <m/>
    <x v="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CF259B-567E-406A-875F-58834F246AFD}" name="PivotTable4"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9" firstHeaderRow="1" firstDataRow="1" firstDataCol="1"/>
  <pivotFields count="4">
    <pivotField allDrilled="1" showAll="0" sortType="ascending" dataSourceSort="1" defaultAttributeDrillState="1">
      <items count="3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axis="axisRow" allDrilled="1" subtotalTop="0" showAll="0" measureFilter="1"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s>
  <rowFields count="1">
    <field x="1"/>
  </rowFields>
  <rowItems count="6">
    <i>
      <x/>
    </i>
    <i>
      <x v="1"/>
    </i>
    <i>
      <x v="2"/>
    </i>
    <i>
      <x v="3"/>
    </i>
    <i>
      <x v="4"/>
    </i>
    <i t="grand">
      <x/>
    </i>
  </rowItems>
  <colItems count="1">
    <i/>
  </colItems>
  <dataFields count="1">
    <dataField name="2021-Present" fld="2" baseField="1" baseItem="0"/>
  </dataFields>
  <chartFormats count="2">
    <chartFormat chart="2" format="0"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s>
  <pivotHierarchies count="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able5].[Select The year].&amp;[Sum of Increase from Mar 2021 to Latest Available]"/>
      </members>
    </pivotHierarchy>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2021-Present"/>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9">
      <autoFilter ref="A1">
        <filterColumn colId="0">
          <top10 val="5" filterVal="5"/>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ange 1]"/>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383063C-82E5-4FAA-9058-668563BF4AA5}" name="PivotTable2"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B9" firstHeaderRow="1" firstDataRow="1" firstDataCol="1"/>
  <pivotFields count="4">
    <pivotField allDrilled="1" showAll="0" sortType="ascending" dataSourceSort="1" defaultAttributeDrillState="1">
      <items count="3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dataField="1" subtotalTop="0" showAll="0" defaultSubtotal="0"/>
    <pivotField axis="axisRow" allDrilled="1" subtotalTop="0" showAll="0" measureFilter="1" dataSourceSort="1" defaultSubtotal="0" defaultAttributeDrillState="1">
      <items count="5">
        <item x="0"/>
        <item x="1"/>
        <item x="2"/>
        <item x="3"/>
        <item x="4"/>
      </items>
    </pivotField>
    <pivotField allDrilled="1" subtotalTop="0" showAll="0" dataSourceSort="1" defaultSubtotal="0" defaultAttributeDrillState="1"/>
  </pivotFields>
  <rowFields count="1">
    <field x="2"/>
  </rowFields>
  <rowItems count="6">
    <i>
      <x/>
    </i>
    <i>
      <x v="1"/>
    </i>
    <i>
      <x v="2"/>
    </i>
    <i>
      <x v="3"/>
    </i>
    <i>
      <x v="4"/>
    </i>
    <i t="grand">
      <x/>
    </i>
  </rowItems>
  <colItems count="1">
    <i/>
  </colItems>
  <dataFields count="1">
    <dataField name="2020-March 2021" fld="1" baseField="2" baseItem="0"/>
  </dataFields>
  <chartFormats count="2">
    <chartFormat chart="7"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Hierarchies count="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able5].[Select The year].&amp;[Sum of Increase from Mar 2021 to Latest Available]"/>
      </members>
    </pivotHierarchy>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2020-March 2021"/>
    <pivotHierarchy dragToData="1"/>
  </pivotHierarchies>
  <pivotTableStyleInfo name="PivotStyleLight16" showRowHeaders="1" showColHeaders="1" showRowStripes="0" showColStripes="0" showLastColumn="1"/>
  <filters count="1">
    <filter fld="2" type="count" id="1" iMeasureHier="22">
      <autoFilter ref="A1">
        <filterColumn colId="0">
          <top10 val="5" filterVal="5"/>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ange 1]"/>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E7B540A-701C-4B90-A5D1-DF005FC8C437}"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4:B10" firstHeaderRow="1" firstDataRow="1" firstDataCol="1"/>
  <pivotFields count="2">
    <pivotField axis="axisRow" showAll="0" measureFilter="1" sortType="descending">
      <items count="36">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0"/>
        <item x="1"/>
        <item t="default"/>
      </items>
    </pivotField>
    <pivotField name="TOP 5 " dataField="1" showAll="0" sortType="descending" maxSubtotal="1">
      <items count="36">
        <item x="19"/>
        <item x="29"/>
        <item x="32"/>
        <item x="15"/>
        <item x="8"/>
        <item x="10"/>
        <item x="27"/>
        <item x="6"/>
        <item x="18"/>
        <item x="0"/>
        <item x="4"/>
        <item x="11"/>
        <item x="26"/>
        <item x="24"/>
        <item x="14"/>
        <item x="30"/>
        <item x="33"/>
        <item x="3"/>
        <item x="16"/>
        <item x="5"/>
        <item x="13"/>
        <item x="12"/>
        <item x="31"/>
        <item x="7"/>
        <item x="1"/>
        <item x="9"/>
        <item x="25"/>
        <item x="20"/>
        <item x="34"/>
        <item x="23"/>
        <item x="22"/>
        <item x="28"/>
        <item x="21"/>
        <item x="2"/>
        <item x="17"/>
        <item t="max"/>
      </items>
    </pivotField>
  </pivotFields>
  <rowFields count="1">
    <field x="0"/>
  </rowFields>
  <rowItems count="6">
    <i>
      <x v="2"/>
    </i>
    <i>
      <x v="5"/>
    </i>
    <i>
      <x v="15"/>
    </i>
    <i>
      <x v="19"/>
    </i>
    <i>
      <x v="26"/>
    </i>
    <i t="grand">
      <x/>
    </i>
  </rowItems>
  <colItems count="1">
    <i/>
  </colItems>
  <dataFields count="1">
    <dataField name="Sum of TOP 5 " fld="1" baseField="0" baseItem="0"/>
  </dataFields>
  <chartFormats count="2">
    <chartFormat chart="0" format="1"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4"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A5B811B-AF57-47A3-90B1-58C1D304F6A8}" name="PivotTable5" cacheId="21" dataOnRows="1" applyNumberFormats="0" applyBorderFormats="0" applyFontFormats="0" applyPatternFormats="0" applyAlignmentFormats="0" applyWidthHeightFormats="1" dataCaption="Values" updatedVersion="8" minRefreshableVersion="3" visualTotals="0" useAutoFormatting="1" subtotalHiddenItems="1" itemPrintTitles="1" createdVersion="8" indent="0" outline="1" outlineData="1" multipleFieldFilters="0" chartFormat="13">
  <location ref="A3:B6" firstHeaderRow="1" firstDataRow="1" firstDataCol="1"/>
  <pivotFields count="4">
    <pivotField dataField="1" subtotalTop="0" showAll="0" defaultSubtotal="0"/>
    <pivotField dataField="1" subtotalTop="0" showAll="0" defaultSubtotal="0"/>
    <pivotField dataField="1" subtotalTop="0" showAll="0" defaultSubtotal="0"/>
    <pivotField allDrilled="1" subtotalTop="0" showAll="0" dataSourceSort="1" defaultAttributeDrillState="1"/>
  </pivotFields>
  <rowFields count="1">
    <field x="-2"/>
  </rowFields>
  <rowItems count="3">
    <i>
      <x/>
    </i>
    <i i="1">
      <x v="1"/>
    </i>
    <i i="2">
      <x v="2"/>
    </i>
  </rowItems>
  <colItems count="1">
    <i/>
  </colItems>
  <dataFields count="3">
    <dataField name="Sum of Public Toilte seats (2019)" fld="0" baseField="0" baseItem="0"/>
    <dataField name="Sum of Cumulative Seats till Mar 2021" fld="1" baseField="0" baseItem="0"/>
    <dataField name="Sum of Cumulative Seats till 2023" fld="2" baseField="0" baseItem="0"/>
  </dataFields>
  <chartFormats count="5">
    <chartFormat chart="1" format="3" series="1">
      <pivotArea type="data" outline="0" fieldPosition="0">
        <references count="1">
          <reference field="4294967294" count="1" selected="0">
            <x v="0"/>
          </reference>
        </references>
      </pivotArea>
    </chartFormat>
    <chartFormat chart="1" format="4" series="1">
      <pivotArea type="data" outline="0" fieldPosition="0">
        <references count="1">
          <reference field="4294967294" count="1" selected="0">
            <x v="1"/>
          </reference>
        </references>
      </pivotArea>
    </chartFormat>
    <chartFormat chart="1" format="5" series="1">
      <pivotArea type="data" outline="0" fieldPosition="0">
        <references count="1">
          <reference field="4294967294" count="1" selected="0">
            <x v="2"/>
          </reference>
        </references>
      </pivotArea>
    </chartFormat>
    <chartFormat chart="2"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Hierarchies count="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able5].[Select The year].&amp;[Sum of Increase from Mar 2021 to Latest Available]"/>
      </members>
    </pivotHierarchy>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ange]"/>
        <x15:activeTabTopLevelEntity name="[Table5]"/>
      </x15:pivotTableUISettings>
    </ext>
    <ext xmlns:xpdl="http://schemas.microsoft.com/office/spreadsheetml/2016/pivotdefaultlayout" uri="{747A6164-185A-40DC-8AA5-F01512510D54}">
      <xpdl:pivotTableDefinition16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C16C524-B4FB-4194-98C3-B216862B12EA}"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39" firstHeaderRow="1" firstDataRow="1" firstDataCol="1" rowPageCount="1" colPageCount="1"/>
  <pivotFields count="4">
    <pivotField showAll="0"/>
    <pivotField axis="axisRow" showAll="0">
      <items count="36">
        <item x="1"/>
        <item x="0"/>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axis="axisPage" multipleItemSelectionAllowed="1" showAll="0">
      <items count="6">
        <item x="0"/>
        <item x="1"/>
        <item x="4"/>
        <item x="2"/>
        <item x="3"/>
        <item t="default"/>
      </items>
    </pivotField>
    <pivotField dataField="1" showAll="0"/>
  </pivotFields>
  <rowFields count="1">
    <field x="1"/>
  </rowFields>
  <rowItems count="3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t="grand">
      <x/>
    </i>
  </rowItems>
  <colItems count="1">
    <i/>
  </colItems>
  <pageFields count="1">
    <pageField fld="2" hier="-1"/>
  </pageFields>
  <dataFields count="1">
    <dataField name="Sum of Public Toilet Seats"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4F8067F-712A-4ACD-8F18-184315609BF9}" name="PivotTable4"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2" firstHeaderRow="1" firstDataRow="1" firstDataCol="1"/>
  <pivotFields count="5">
    <pivotField showAll="0"/>
    <pivotField showAll="0">
      <items count="37">
        <item x="1"/>
        <item x="0"/>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showAll="0"/>
    <pivotField dataField="1" showAll="0"/>
    <pivotField axis="axisRow" showAll="0">
      <items count="9">
        <item x="5"/>
        <item x="3"/>
        <item x="4"/>
        <item x="2"/>
        <item x="1"/>
        <item x="0"/>
        <item x="6"/>
        <item x="7"/>
        <item t="default"/>
      </items>
    </pivotField>
  </pivotFields>
  <rowFields count="1">
    <field x="4"/>
  </rowFields>
  <rowItems count="9">
    <i>
      <x/>
    </i>
    <i>
      <x v="1"/>
    </i>
    <i>
      <x v="2"/>
    </i>
    <i>
      <x v="3"/>
    </i>
    <i>
      <x v="4"/>
    </i>
    <i>
      <x v="5"/>
    </i>
    <i>
      <x v="6"/>
    </i>
    <i>
      <x v="7"/>
    </i>
    <i t="grand">
      <x/>
    </i>
  </rowItems>
  <colItems count="1">
    <i/>
  </colItems>
  <dataFields count="1">
    <dataField name="Sum of Public Toilet Seats"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A5319AA4-BE99-4F2D-B8D5-D2FA0E658FFE}" autoFormatId="16" applyNumberFormats="0" applyBorderFormats="0" applyFontFormats="0" applyPatternFormats="0" applyAlignmentFormats="0" applyWidthHeightFormats="0">
  <queryTableRefresh nextId="9">
    <queryTableFields count="5">
      <queryTableField id="1" name="S.No." tableColumnId="1"/>
      <queryTableField id="2" name="State/UT" tableColumnId="2"/>
      <queryTableField id="6" name="IHHL Constructed (Units)" tableColumnId="3"/>
      <queryTableField id="4" name="CT/PT Constructed (Seats)" tableColumnId="4"/>
      <queryTableField id="7" name="Funds Released (Rs. in Crores)" tableColumnId="5"/>
    </queryTableFields>
    <queryTableDeletedFields count="2">
      <deletedField name="IHHL Constructed (Units)"/>
      <deletedField name="Funds Released (Rs. in Crores)"/>
    </queryTableDeleted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41937EE3-BFFF-4C13-94FC-AF503EDCE1B0}" autoFormatId="16" applyNumberFormats="0" applyBorderFormats="0" applyFontFormats="0" applyPatternFormats="0" applyAlignmentFormats="0" applyWidthHeightFormats="0">
  <queryTableRefresh nextId="11">
    <queryTableFields count="6">
      <queryTableField id="1" name="S.No" tableColumnId="1"/>
      <queryTableField id="2" name="States/ UTs" tableColumnId="2"/>
      <queryTableField id="7" name="Total No. of IHHLs Constructed till March 2021" tableColumnId="3"/>
      <queryTableField id="8" name="No. of IHHLs Constructed During April 2021 - March 2022" tableColumnId="4"/>
      <queryTableField id="5" name="Total No. of CT/PT Constructed till March 2021" tableColumnId="5"/>
      <queryTableField id="6" name="No. of CT/PT Constructed during April 2021 - March 2022" tableColumnId="6"/>
    </queryTableFields>
    <queryTableDeletedFields count="2">
      <deletedField name="Total No. of IHHLs Constructed till March 2021"/>
      <deletedField name="No. of IHHLs Constructed During April 2021 - March 2022"/>
    </queryTableDeleted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3" xr16:uid="{DE1C6FA8-9AF3-4C29-9CE6-E36968BA33AB}" autoFormatId="16" applyNumberFormats="0" applyBorderFormats="0" applyFontFormats="0" applyPatternFormats="0" applyAlignmentFormats="0" applyWidthHeightFormats="0">
  <queryTableRefresh nextId="9" unboundColumnsRight="2">
    <queryTableFields count="6">
      <queryTableField id="1" name="Sl. No." tableColumnId="1"/>
      <queryTableField id="2" name="States/UT" tableColumnId="2"/>
      <queryTableField id="7" name="Individual Household Toilets (in Nos)" tableColumnId="3"/>
      <queryTableField id="4" name="Total Community and Public Toilets (No. of Seats)" tableColumnId="4"/>
      <queryTableField id="5" dataBound="0" tableColumnId="5"/>
      <queryTableField id="6" dataBound="0" tableColumnId="6"/>
    </queryTableFields>
    <queryTableDeletedFields count="1">
      <deletedField name="Individual Household Toilets (in Nos)"/>
    </queryTableDeleted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4" xr16:uid="{489A76A9-9A69-49C3-B193-BFC2AE85FC77}" autoFormatId="16" applyNumberFormats="0" applyBorderFormats="0" applyFontFormats="0" applyPatternFormats="0" applyAlignmentFormats="0" applyWidthHeightFormats="0">
  <queryTableRefresh nextId="6">
    <queryTableFields count="5">
      <queryTableField id="1" name="S.No." tableColumnId="1"/>
      <queryTableField id="2" name="State/UT" tableColumnId="2"/>
      <queryTableField id="3" name="Years" tableColumnId="3"/>
      <queryTableField id="4" name="Public Toilet Seats" tableColumnId="4"/>
      <queryTableField id="5" name="Region" tableColumnId="5"/>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1" xr10:uid="{3218BC95-1A9D-4870-B145-DFF13769D3AD}" sourceName="Years">
  <pivotTables>
    <pivotTable tabId="24" name="PivotTable2"/>
  </pivotTables>
  <data>
    <tabular pivotCacheId="2142907725">
      <items count="5">
        <i x="0" s="1"/>
        <i x="1" s="1"/>
        <i x="4"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_UT" xr10:uid="{D7B760D1-50EF-4287-8868-C9CC8727B728}" sourceName="State/UT">
  <pivotTables>
    <pivotTable tabId="24" name="PivotTable2"/>
  </pivotTables>
  <data>
    <tabular pivotCacheId="2142907725">
      <items count="35">
        <i x="1" s="1"/>
        <i x="0" s="1"/>
        <i x="2" s="1"/>
        <i x="3" s="1"/>
        <i x="4" s="1"/>
        <i x="5" s="1"/>
        <i x="6" s="1"/>
        <i x="7" s="1"/>
        <i x="8" s="1"/>
        <i x="9" s="1"/>
        <i x="10" s="1"/>
        <i x="11" s="1"/>
        <i x="12" s="1"/>
        <i x="13" s="1"/>
        <i x="14" s="1"/>
        <i x="15" s="1"/>
        <i x="16" s="1"/>
        <i x="17" s="1"/>
        <i x="18" s="1"/>
        <i x="19" s="1"/>
        <i x="20" s="1"/>
        <i x="21" s="1"/>
        <i x="22" s="1"/>
        <i x="23" s="1"/>
        <i x="24" s="1"/>
        <i x="25" s="1"/>
        <i x="26" s="1"/>
        <i x="27" s="1"/>
        <i x="28" s="1"/>
        <i x="29" s="1"/>
        <i x="30" s="1"/>
        <i x="31" s="1"/>
        <i x="32" s="1"/>
        <i x="33" s="1"/>
        <i x="3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lect_The_year" xr10:uid="{2672BEEA-C3C8-4800-90BA-45AA67E2ECF6}" sourceName="Select The year">
  <extLst>
    <x:ext xmlns:x15="http://schemas.microsoft.com/office/spreadsheetml/2010/11/main" uri="{2F2917AC-EB37-4324-AD4E-5DD8C200BD13}">
      <x15:tableSlicerCache tableId="5"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1" xr10:uid="{841A07A1-195F-4A02-9596-2D902518806B}" cache="Slicer_Years1" caption="Years" rowHeight="251883"/>
  <slicer name="State/UT" xr10:uid="{D826B437-8C88-489B-88AB-F9DA7C28DAE6}" cache="Slicer_State_UT" caption="State/UT"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2" xr10:uid="{633D77A9-37CD-4F73-81E3-3F7ADF8DC172}" cache="Slicer_Years1" caption="Years" rowHeight="251883"/>
  <slicer name="State/UT 1" xr10:uid="{9E925136-C68E-4927-B9D9-2B0FBA92EE16}" cache="Slicer_State_UT" caption="State/UT"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lect The year" xr10:uid="{4BEAD501-9CD4-4D51-9F4D-8AC1709F0F08}" cache="Slicer_Select_The_year" caption="Select The year" rowHeight="251883"/>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9311253-DD03-42CC-9D71-4FAEFCD552AA}" name="Data2019" displayName="Data2019" ref="A1:E37" tableType="queryTable" totalsRowShown="0">
  <autoFilter ref="A1:E37" xr:uid="{19311253-DD03-42CC-9D71-4FAEFCD552AA}"/>
  <tableColumns count="5">
    <tableColumn id="1" xr3:uid="{3824B79F-C8F9-4C1F-8328-4C0647A1EAB1}" uniqueName="1" name="S.No." queryTableFieldId="1" dataDxfId="19"/>
    <tableColumn id="2" xr3:uid="{C546A9CA-97CB-4E12-A9FB-7AA2032C4760}" uniqueName="2" name="State/UT" queryTableFieldId="2" dataDxfId="18"/>
    <tableColumn id="3" xr3:uid="{D71A0FCE-1A9B-4DF0-8605-4DFD4E702BBE}" uniqueName="3" name="IHHL Constructed (Units)" queryTableFieldId="6"/>
    <tableColumn id="4" xr3:uid="{62F62857-D935-4893-9CA8-B04182F8779D}" uniqueName="4" name="CT/PT Constructed (Seats)" queryTableFieldId="4"/>
    <tableColumn id="5" xr3:uid="{0DE99B12-B9B0-4849-8313-0563BB56E6D0}" uniqueName="5" name="Funds Released (Rs. in Crores)" queryTableFieldId="7"/>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B8D1F6C-121F-47D9-B705-FF0659AD7752}" name="Data2021" displayName="Data2021" ref="A1:F37" tableType="queryTable" totalsRowShown="0">
  <autoFilter ref="A1:F37" xr:uid="{1B8D1F6C-121F-47D9-B705-FF0659AD7752}"/>
  <tableColumns count="6">
    <tableColumn id="1" xr3:uid="{06648ADB-0468-4EBF-89EE-309775A94880}" uniqueName="1" name="S.No" queryTableFieldId="1" dataDxfId="17"/>
    <tableColumn id="2" xr3:uid="{1E4D30FE-E8F2-4496-9AC6-4A877925FADB}" uniqueName="2" name="States/ UTs" queryTableFieldId="2" dataDxfId="16"/>
    <tableColumn id="3" xr3:uid="{AF9CF286-31F7-43E2-B7AF-EAB7E308522A}" uniqueName="3" name="Total No. of IHHLs Constructed till March 2021" queryTableFieldId="7"/>
    <tableColumn id="4" xr3:uid="{66CD6B17-32BE-4DCB-9187-1A46A4A305F2}" uniqueName="4" name="No. of IHHLs Constructed During April 2021 - March 2022" queryTableFieldId="8"/>
    <tableColumn id="5" xr3:uid="{C6EEF48C-7877-468C-8B1B-35BCCA102FBE}" uniqueName="5" name="Total No. of CT/PT Constructed till March 2021" queryTableFieldId="5"/>
    <tableColumn id="6" xr3:uid="{63CF07CD-EB08-4F94-8F14-7DE987452CE8}" uniqueName="6" name="No. of CT/PT Constructed during April 2021 - March 2022" queryTableFieldId="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0082D1A-6500-4396-B5C2-E4529DED4FB4}" name="Data2023" displayName="Data2023" ref="A1:F37" tableType="queryTable" totalsRowShown="0">
  <autoFilter ref="A1:F37" xr:uid="{70082D1A-6500-4396-B5C2-E4529DED4FB4}"/>
  <tableColumns count="6">
    <tableColumn id="1" xr3:uid="{E7AAD30E-1C3A-4D78-AF19-69123954CA66}" uniqueName="1" name="Sl. No." queryTableFieldId="1" dataDxfId="15"/>
    <tableColumn id="2" xr3:uid="{F8DFCB87-7050-4956-AF81-FF0AB5673B2A}" uniqueName="2" name="States/UT" queryTableFieldId="2" dataDxfId="14"/>
    <tableColumn id="3" xr3:uid="{CB724D09-86EB-4C07-81C3-DA86E6683F38}" uniqueName="3" name="Individual Household Toilets (in Nos)" queryTableFieldId="7"/>
    <tableColumn id="4" xr3:uid="{2712D572-C8E8-429C-ABB3-68D9C69D6966}" uniqueName="4" name="Total Community and Public Toilets (No. of Seats)" queryTableFieldId="4"/>
    <tableColumn id="5" xr3:uid="{9A67188E-757D-4A96-A7F3-990725E61A3D}" uniqueName="5" name="2021" queryTableFieldId="5"/>
    <tableColumn id="6" xr3:uid="{69908D62-6356-49A8-8BBA-BC6ABF333A28}" uniqueName="6" name="Total CT/PT From April 2022-2023" queryTableFieldId="6" dataDxfId="13">
      <calculatedColumnFormula>D2-E2</calculatedColumnFormula>
    </tableColumn>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F5573DC-2419-418A-8F0A-2CA5B5686D20}" name="Table7_1" displayName="Table7_1" ref="A1:E176" tableType="queryTable" totalsRowShown="0">
  <autoFilter ref="A1:E176" xr:uid="{4F5573DC-2419-418A-8F0A-2CA5B5686D20}"/>
  <tableColumns count="5">
    <tableColumn id="1" xr3:uid="{F85B8C27-CEE9-481C-8DD3-6791B6178A77}" uniqueName="1" name="S.No." queryTableFieldId="1"/>
    <tableColumn id="2" xr3:uid="{094E39ED-A550-44F3-B233-1567D5449BE2}" uniqueName="2" name="State/UT" queryTableFieldId="2" dataDxfId="12"/>
    <tableColumn id="3" xr3:uid="{12BAD5A6-C482-4689-BF6B-1F99FDBE5517}" uniqueName="3" name="Years" queryTableFieldId="3" dataDxfId="11"/>
    <tableColumn id="4" xr3:uid="{9E70AF96-0CF2-4C1F-8892-477FE16DC6B6}" uniqueName="4" name="Public Toilet Seats" queryTableFieldId="4"/>
    <tableColumn id="5" xr3:uid="{6C0468EC-EF91-4A82-A7BE-06718DD9508E}" uniqueName="5" name="Region" queryTableFieldId="5"/>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A810727-B583-4950-AE04-644828077944}" name="Table7" displayName="Table7" ref="A1:G36" totalsRowShown="0" headerRowDxfId="10" dataDxfId="9" tableBorderDxfId="8">
  <autoFilter ref="A1:G36" xr:uid="{4A810727-B583-4950-AE04-644828077944}"/>
  <tableColumns count="7">
    <tableColumn id="1" xr3:uid="{96DBA0A9-A7B4-462B-8CDB-1823DB72287A}" name="S.No." dataDxfId="7"/>
    <tableColumn id="2" xr3:uid="{8091BC02-947B-4D51-BA26-4C1AFA434DBD}" name="State/UT" dataDxfId="6"/>
    <tableColumn id="3" xr3:uid="{0428D6EB-827C-46F8-A597-3EB5DBFCA0C9}" name=" Public Toilte seats (2019)" dataDxfId="5"/>
    <tableColumn id="4" xr3:uid="{550BC1FA-AD7D-4CB3-AFFB-2F072A5A9268}" name="Additional Seats (2020–Mar 2021)" dataDxfId="4">
      <calculatedColumnFormula>E2-C2</calculatedColumnFormula>
    </tableColumn>
    <tableColumn id="5" xr3:uid="{42B6FA6F-ED41-42A5-8F5D-2B81865E3C30}" name="Cumulative Seats till Mar 2021" dataDxfId="3"/>
    <tableColumn id="6" xr3:uid="{C79F8CBE-4256-4BE3-90C1-DB829EF6BC94}" name="Increase from Mar 2021 to Latest Available" dataDxfId="2">
      <calculatedColumnFormula>G2-E2</calculatedColumnFormula>
    </tableColumn>
    <tableColumn id="7" xr3:uid="{628FD1AE-976F-4075-A42C-014C841EAB74}" name="Cumulative Seats till 2023" dataDxfId="1"/>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AD391E7-6B0C-49D3-9BC0-52C5289F4EF9}" name="Table5" displayName="Table5" ref="A1:A6" totalsRowShown="0" headerRowDxfId="0">
  <autoFilter ref="A1:A6" xr:uid="{CAD391E7-6B0C-49D3-9BC0-52C5289F4EF9}"/>
  <tableColumns count="1">
    <tableColumn id="1" xr3:uid="{335D8F70-FBAD-43E3-B13B-15FE8AB7E035}" name="Select The yea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9.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7.xml"/></Relationships>
</file>

<file path=xl/worksheets/_rels/sheet14.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table" Target="../tables/table6.xml"/><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4C8086-D871-43E5-AA3B-AEBE46C739D4}">
  <dimension ref="A1:E37"/>
  <sheetViews>
    <sheetView topLeftCell="A21" workbookViewId="0">
      <selection activeCell="B35" sqref="B35"/>
    </sheetView>
  </sheetViews>
  <sheetFormatPr defaultRowHeight="14.5" x14ac:dyDescent="0.35"/>
  <cols>
    <col min="1" max="1" width="7.54296875" bestFit="1" customWidth="1"/>
    <col min="2" max="2" width="18.7265625" bestFit="1" customWidth="1"/>
    <col min="3" max="3" width="24.1796875" bestFit="1" customWidth="1"/>
    <col min="4" max="4" width="25.26953125" customWidth="1"/>
    <col min="5" max="5" width="28.81640625" bestFit="1" customWidth="1"/>
  </cols>
  <sheetData>
    <row r="1" spans="1:5" x14ac:dyDescent="0.35">
      <c r="A1" t="s">
        <v>0</v>
      </c>
      <c r="B1" t="s">
        <v>1</v>
      </c>
      <c r="C1" t="s">
        <v>125</v>
      </c>
      <c r="D1" t="s">
        <v>2</v>
      </c>
      <c r="E1" t="s">
        <v>126</v>
      </c>
    </row>
    <row r="2" spans="1:5" x14ac:dyDescent="0.35">
      <c r="A2" t="s">
        <v>3</v>
      </c>
      <c r="B2" t="s">
        <v>4</v>
      </c>
      <c r="C2">
        <v>243736</v>
      </c>
      <c r="D2">
        <v>17757</v>
      </c>
      <c r="E2">
        <v>1</v>
      </c>
    </row>
    <row r="3" spans="1:5" x14ac:dyDescent="0.35">
      <c r="A3" t="s">
        <v>5</v>
      </c>
      <c r="B3" t="s">
        <v>6</v>
      </c>
      <c r="C3">
        <v>336</v>
      </c>
      <c r="D3">
        <v>603</v>
      </c>
      <c r="E3">
        <v>165.19</v>
      </c>
    </row>
    <row r="4" spans="1:5" x14ac:dyDescent="0.35">
      <c r="A4" t="s">
        <v>7</v>
      </c>
      <c r="B4" t="s">
        <v>8</v>
      </c>
      <c r="C4">
        <v>8732</v>
      </c>
      <c r="D4">
        <v>46</v>
      </c>
      <c r="E4">
        <v>8</v>
      </c>
    </row>
    <row r="5" spans="1:5" x14ac:dyDescent="0.35">
      <c r="A5" t="s">
        <v>9</v>
      </c>
      <c r="B5" t="s">
        <v>10</v>
      </c>
      <c r="C5">
        <v>72763</v>
      </c>
      <c r="D5">
        <v>3286</v>
      </c>
      <c r="E5">
        <v>84.26</v>
      </c>
    </row>
    <row r="6" spans="1:5" x14ac:dyDescent="0.35">
      <c r="A6" t="s">
        <v>11</v>
      </c>
      <c r="B6" t="s">
        <v>12</v>
      </c>
      <c r="C6">
        <v>393613</v>
      </c>
      <c r="D6">
        <v>16124</v>
      </c>
      <c r="E6">
        <v>185.24</v>
      </c>
    </row>
    <row r="7" spans="1:5" x14ac:dyDescent="0.35">
      <c r="A7" t="s">
        <v>13</v>
      </c>
      <c r="B7" t="s">
        <v>14</v>
      </c>
      <c r="C7">
        <v>6117</v>
      </c>
      <c r="D7">
        <v>2512</v>
      </c>
      <c r="E7">
        <v>1.85</v>
      </c>
    </row>
    <row r="8" spans="1:5" x14ac:dyDescent="0.35">
      <c r="A8" t="s">
        <v>15</v>
      </c>
      <c r="B8" t="s">
        <v>16</v>
      </c>
      <c r="C8">
        <v>325050</v>
      </c>
      <c r="D8">
        <v>18832</v>
      </c>
      <c r="E8">
        <v>179.76</v>
      </c>
    </row>
    <row r="9" spans="1:5" x14ac:dyDescent="0.35">
      <c r="A9" t="s">
        <v>17</v>
      </c>
      <c r="B9" t="s">
        <v>127</v>
      </c>
      <c r="C9">
        <v>1197</v>
      </c>
      <c r="D9">
        <v>511</v>
      </c>
      <c r="E9">
        <v>0.69</v>
      </c>
    </row>
    <row r="10" spans="1:5" x14ac:dyDescent="0.35">
      <c r="A10" t="s">
        <v>18</v>
      </c>
      <c r="B10" t="s">
        <v>128</v>
      </c>
      <c r="C10">
        <v>1181</v>
      </c>
      <c r="D10">
        <v>104</v>
      </c>
      <c r="E10">
        <v>0.35</v>
      </c>
    </row>
    <row r="11" spans="1:5" x14ac:dyDescent="0.35">
      <c r="A11" t="s">
        <v>19</v>
      </c>
      <c r="B11" t="s">
        <v>20</v>
      </c>
      <c r="C11">
        <v>725</v>
      </c>
      <c r="D11">
        <v>24186</v>
      </c>
      <c r="E11">
        <v>30.23</v>
      </c>
    </row>
    <row r="12" spans="1:5" x14ac:dyDescent="0.35">
      <c r="A12" t="s">
        <v>21</v>
      </c>
      <c r="B12" t="s">
        <v>22</v>
      </c>
      <c r="C12">
        <v>3436</v>
      </c>
      <c r="D12">
        <v>577</v>
      </c>
      <c r="E12">
        <v>2.74</v>
      </c>
    </row>
    <row r="13" spans="1:5" x14ac:dyDescent="0.35">
      <c r="A13" t="s">
        <v>23</v>
      </c>
      <c r="B13" t="s">
        <v>24</v>
      </c>
      <c r="C13">
        <v>560046</v>
      </c>
      <c r="D13">
        <v>24149</v>
      </c>
      <c r="E13">
        <v>185.54</v>
      </c>
    </row>
    <row r="14" spans="1:5" x14ac:dyDescent="0.35">
      <c r="A14" t="s">
        <v>25</v>
      </c>
      <c r="B14" t="s">
        <v>26</v>
      </c>
      <c r="C14">
        <v>64719</v>
      </c>
      <c r="D14">
        <v>10819</v>
      </c>
      <c r="E14">
        <v>57.06</v>
      </c>
    </row>
    <row r="15" spans="1:5" x14ac:dyDescent="0.35">
      <c r="A15" t="s">
        <v>27</v>
      </c>
      <c r="B15" t="s">
        <v>28</v>
      </c>
      <c r="C15">
        <v>5635</v>
      </c>
      <c r="D15">
        <v>1445</v>
      </c>
      <c r="E15">
        <v>10.39</v>
      </c>
    </row>
    <row r="16" spans="1:5" x14ac:dyDescent="0.35">
      <c r="A16" t="s">
        <v>29</v>
      </c>
      <c r="B16" t="s">
        <v>30</v>
      </c>
      <c r="C16">
        <v>45143</v>
      </c>
      <c r="D16">
        <v>2384</v>
      </c>
      <c r="E16">
        <v>75.87</v>
      </c>
    </row>
    <row r="17" spans="1:5" x14ac:dyDescent="0.35">
      <c r="A17" t="s">
        <v>31</v>
      </c>
      <c r="B17" t="s">
        <v>32</v>
      </c>
      <c r="C17">
        <v>217763</v>
      </c>
      <c r="D17">
        <v>7551</v>
      </c>
      <c r="E17">
        <v>75.47</v>
      </c>
    </row>
    <row r="18" spans="1:5" x14ac:dyDescent="0.35">
      <c r="A18" t="s">
        <v>33</v>
      </c>
      <c r="B18" t="s">
        <v>34</v>
      </c>
      <c r="C18">
        <v>329163</v>
      </c>
      <c r="D18">
        <v>34387</v>
      </c>
      <c r="E18">
        <v>198.83</v>
      </c>
    </row>
    <row r="19" spans="1:5" x14ac:dyDescent="0.35">
      <c r="A19" t="s">
        <v>35</v>
      </c>
      <c r="B19" t="s">
        <v>36</v>
      </c>
      <c r="C19">
        <v>37207</v>
      </c>
      <c r="D19">
        <v>2801</v>
      </c>
      <c r="E19">
        <v>31.67</v>
      </c>
    </row>
    <row r="20" spans="1:5" x14ac:dyDescent="0.35">
      <c r="A20" t="s">
        <v>37</v>
      </c>
      <c r="B20" t="s">
        <v>38</v>
      </c>
      <c r="C20">
        <v>558615</v>
      </c>
      <c r="D20">
        <v>18251</v>
      </c>
      <c r="E20">
        <v>354.97</v>
      </c>
    </row>
    <row r="21" spans="1:5" x14ac:dyDescent="0.35">
      <c r="A21" t="s">
        <v>39</v>
      </c>
      <c r="B21" t="s">
        <v>40</v>
      </c>
      <c r="C21">
        <v>700446</v>
      </c>
      <c r="D21">
        <v>166465</v>
      </c>
      <c r="E21">
        <v>396.18</v>
      </c>
    </row>
    <row r="22" spans="1:5" x14ac:dyDescent="0.35">
      <c r="A22" t="s">
        <v>41</v>
      </c>
      <c r="B22" t="s">
        <v>42</v>
      </c>
      <c r="C22">
        <v>34374</v>
      </c>
      <c r="D22">
        <v>443</v>
      </c>
      <c r="E22">
        <v>28.06</v>
      </c>
    </row>
    <row r="23" spans="1:5" x14ac:dyDescent="0.35">
      <c r="A23" t="s">
        <v>43</v>
      </c>
      <c r="B23" t="s">
        <v>44</v>
      </c>
      <c r="C23">
        <v>1080</v>
      </c>
      <c r="D23">
        <v>152</v>
      </c>
      <c r="E23">
        <v>5.05</v>
      </c>
    </row>
    <row r="24" spans="1:5" x14ac:dyDescent="0.35">
      <c r="A24" t="s">
        <v>45</v>
      </c>
      <c r="B24" t="s">
        <v>46</v>
      </c>
      <c r="C24">
        <v>2972</v>
      </c>
      <c r="D24">
        <v>188</v>
      </c>
      <c r="E24">
        <v>9.73</v>
      </c>
    </row>
    <row r="25" spans="1:5" x14ac:dyDescent="0.35">
      <c r="A25" t="s">
        <v>47</v>
      </c>
      <c r="B25" t="s">
        <v>48</v>
      </c>
      <c r="C25">
        <v>16015</v>
      </c>
      <c r="D25">
        <v>235</v>
      </c>
      <c r="E25">
        <v>22.19</v>
      </c>
    </row>
    <row r="26" spans="1:5" x14ac:dyDescent="0.35">
      <c r="A26" t="s">
        <v>49</v>
      </c>
      <c r="B26" t="s">
        <v>50</v>
      </c>
      <c r="C26">
        <v>130886</v>
      </c>
      <c r="D26">
        <v>9072</v>
      </c>
      <c r="E26">
        <v>103.56</v>
      </c>
    </row>
    <row r="27" spans="1:5" x14ac:dyDescent="0.35">
      <c r="A27" t="s">
        <v>51</v>
      </c>
      <c r="B27" t="s">
        <v>52</v>
      </c>
      <c r="C27">
        <v>4919</v>
      </c>
      <c r="D27">
        <v>466</v>
      </c>
      <c r="E27">
        <v>5.66</v>
      </c>
    </row>
    <row r="28" spans="1:5" x14ac:dyDescent="0.35">
      <c r="A28" t="s">
        <v>53</v>
      </c>
      <c r="B28" t="s">
        <v>54</v>
      </c>
      <c r="C28">
        <v>103015</v>
      </c>
      <c r="D28">
        <v>10775</v>
      </c>
      <c r="E28">
        <v>72.91</v>
      </c>
    </row>
    <row r="29" spans="1:5" x14ac:dyDescent="0.35">
      <c r="A29" t="s">
        <v>55</v>
      </c>
      <c r="B29" t="s">
        <v>56</v>
      </c>
      <c r="C29">
        <v>364237</v>
      </c>
      <c r="D29">
        <v>23147</v>
      </c>
      <c r="E29">
        <v>207.43</v>
      </c>
    </row>
    <row r="30" spans="1:5" x14ac:dyDescent="0.35">
      <c r="A30" t="s">
        <v>57</v>
      </c>
      <c r="B30" t="s">
        <v>58</v>
      </c>
      <c r="C30">
        <v>1066</v>
      </c>
      <c r="D30">
        <v>163</v>
      </c>
      <c r="E30">
        <v>1.34</v>
      </c>
    </row>
    <row r="31" spans="1:5" x14ac:dyDescent="0.35">
      <c r="A31" t="s">
        <v>59</v>
      </c>
      <c r="B31" t="s">
        <v>60</v>
      </c>
      <c r="C31">
        <v>504154</v>
      </c>
      <c r="D31">
        <v>89648</v>
      </c>
      <c r="E31">
        <v>281.22000000000003</v>
      </c>
    </row>
    <row r="32" spans="1:5" x14ac:dyDescent="0.35">
      <c r="A32" t="s">
        <v>61</v>
      </c>
      <c r="B32" t="s">
        <v>62</v>
      </c>
      <c r="C32">
        <v>149723</v>
      </c>
      <c r="D32">
        <v>6000</v>
      </c>
      <c r="E32">
        <v>68.25</v>
      </c>
    </row>
    <row r="33" spans="1:5" x14ac:dyDescent="0.35">
      <c r="A33" t="s">
        <v>63</v>
      </c>
      <c r="B33" t="s">
        <v>64</v>
      </c>
      <c r="C33">
        <v>19623</v>
      </c>
      <c r="D33">
        <v>883</v>
      </c>
      <c r="E33">
        <v>9.58</v>
      </c>
    </row>
    <row r="34" spans="1:5" x14ac:dyDescent="0.35">
      <c r="A34" t="s">
        <v>65</v>
      </c>
      <c r="B34" t="s">
        <v>66</v>
      </c>
      <c r="C34">
        <v>887906</v>
      </c>
      <c r="D34">
        <v>62490</v>
      </c>
      <c r="E34">
        <v>540.59</v>
      </c>
    </row>
    <row r="35" spans="1:5" x14ac:dyDescent="0.35">
      <c r="A35" t="s">
        <v>67</v>
      </c>
      <c r="B35" t="s">
        <v>68</v>
      </c>
      <c r="C35">
        <v>18000</v>
      </c>
      <c r="D35">
        <v>4547</v>
      </c>
      <c r="E35">
        <v>36.64</v>
      </c>
    </row>
    <row r="36" spans="1:5" x14ac:dyDescent="0.35">
      <c r="A36" t="s">
        <v>69</v>
      </c>
      <c r="B36" t="s">
        <v>70</v>
      </c>
      <c r="C36">
        <v>282542</v>
      </c>
      <c r="D36">
        <v>299</v>
      </c>
      <c r="E36">
        <v>175.41</v>
      </c>
    </row>
    <row r="37" spans="1:5" x14ac:dyDescent="0.35">
      <c r="A37" t="s">
        <v>71</v>
      </c>
      <c r="B37" t="s">
        <v>71</v>
      </c>
      <c r="C37">
        <v>6096135</v>
      </c>
      <c r="D37">
        <v>561298</v>
      </c>
      <c r="E37">
        <v>3612.89</v>
      </c>
    </row>
  </sheetData>
  <phoneticPr fontId="4" type="noConversion"/>
  <pageMargins left="0.7" right="0.7" top="0.75" bottom="0.75" header="0.3" footer="0.3"/>
  <legacy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FC76D-4A93-47DF-A253-9695D22CF1A8}">
  <dimension ref="A1:E37"/>
  <sheetViews>
    <sheetView zoomScale="87" workbookViewId="0">
      <selection activeCell="E2" sqref="E2"/>
    </sheetView>
  </sheetViews>
  <sheetFormatPr defaultRowHeight="14.5" x14ac:dyDescent="0.35"/>
  <cols>
    <col min="2" max="2" width="36.1796875" bestFit="1" customWidth="1"/>
    <col min="3" max="3" width="39.26953125" bestFit="1" customWidth="1"/>
    <col min="4" max="4" width="36.81640625" bestFit="1" customWidth="1"/>
    <col min="5" max="5" width="49.54296875" bestFit="1" customWidth="1"/>
  </cols>
  <sheetData>
    <row r="1" spans="1:5" x14ac:dyDescent="0.35">
      <c r="A1" s="1" t="s">
        <v>72</v>
      </c>
      <c r="B1" s="2" t="s">
        <v>73</v>
      </c>
      <c r="C1" s="2" t="s">
        <v>74</v>
      </c>
      <c r="D1" s="12" t="s">
        <v>81</v>
      </c>
      <c r="E1" s="12" t="s">
        <v>83</v>
      </c>
    </row>
    <row r="2" spans="1:5" x14ac:dyDescent="0.35">
      <c r="A2" s="10" t="s">
        <v>3</v>
      </c>
      <c r="B2" s="3" t="s">
        <v>4</v>
      </c>
      <c r="C2" s="3">
        <v>17797</v>
      </c>
      <c r="D2" s="4">
        <v>17757</v>
      </c>
      <c r="E2" s="4">
        <f>IF(C2&gt;D2,C2-D2,D2-C2)</f>
        <v>40</v>
      </c>
    </row>
    <row r="3" spans="1:5" x14ac:dyDescent="0.35">
      <c r="A3" s="11" t="s">
        <v>5</v>
      </c>
      <c r="B3" s="5" t="s">
        <v>76</v>
      </c>
      <c r="C3" s="5">
        <v>603</v>
      </c>
      <c r="D3" s="6">
        <v>603</v>
      </c>
      <c r="E3" s="6">
        <f t="shared" ref="E3:E37" si="0">IF(C3&gt;D3,C3-D3,D3-C3)</f>
        <v>0</v>
      </c>
    </row>
    <row r="4" spans="1:5" x14ac:dyDescent="0.35">
      <c r="A4" s="10" t="s">
        <v>7</v>
      </c>
      <c r="B4" s="3" t="s">
        <v>8</v>
      </c>
      <c r="C4" s="3">
        <v>46</v>
      </c>
      <c r="D4" s="4">
        <v>46</v>
      </c>
      <c r="E4" s="4">
        <f t="shared" si="0"/>
        <v>0</v>
      </c>
    </row>
    <row r="5" spans="1:5" x14ac:dyDescent="0.35">
      <c r="A5" s="11" t="s">
        <v>9</v>
      </c>
      <c r="B5" s="5" t="s">
        <v>10</v>
      </c>
      <c r="C5" s="5">
        <v>3350</v>
      </c>
      <c r="D5" s="6">
        <v>3286</v>
      </c>
      <c r="E5" s="6">
        <f t="shared" si="0"/>
        <v>64</v>
      </c>
    </row>
    <row r="6" spans="1:5" x14ac:dyDescent="0.35">
      <c r="A6" s="10" t="s">
        <v>11</v>
      </c>
      <c r="B6" s="3" t="s">
        <v>12</v>
      </c>
      <c r="C6" s="3">
        <v>20878</v>
      </c>
      <c r="D6" s="4">
        <v>16124</v>
      </c>
      <c r="E6" s="4">
        <f t="shared" si="0"/>
        <v>4754</v>
      </c>
    </row>
    <row r="7" spans="1:5" x14ac:dyDescent="0.35">
      <c r="A7" s="11" t="s">
        <v>13</v>
      </c>
      <c r="B7" s="5" t="s">
        <v>14</v>
      </c>
      <c r="C7" s="5">
        <v>2512</v>
      </c>
      <c r="D7" s="6">
        <v>2512</v>
      </c>
      <c r="E7" s="6">
        <f t="shared" si="0"/>
        <v>0</v>
      </c>
    </row>
    <row r="8" spans="1:5" x14ac:dyDescent="0.35">
      <c r="A8" s="10" t="s">
        <v>15</v>
      </c>
      <c r="B8" s="3" t="s">
        <v>16</v>
      </c>
      <c r="C8" s="3">
        <v>18832</v>
      </c>
      <c r="D8" s="4">
        <v>18832</v>
      </c>
      <c r="E8" s="4">
        <f t="shared" si="0"/>
        <v>0</v>
      </c>
    </row>
    <row r="9" spans="1:5" x14ac:dyDescent="0.35">
      <c r="A9" s="11" t="s">
        <v>17</v>
      </c>
      <c r="B9" s="5" t="s">
        <v>77</v>
      </c>
      <c r="C9" s="5">
        <v>615</v>
      </c>
      <c r="D9" s="6">
        <v>615</v>
      </c>
      <c r="E9" s="6">
        <f t="shared" si="0"/>
        <v>0</v>
      </c>
    </row>
    <row r="10" spans="1:5" x14ac:dyDescent="0.35">
      <c r="A10" s="10" t="s">
        <v>18</v>
      </c>
      <c r="B10" s="3" t="s">
        <v>20</v>
      </c>
      <c r="C10" s="3">
        <v>28256</v>
      </c>
      <c r="D10" s="4">
        <v>24186</v>
      </c>
      <c r="E10" s="4">
        <f t="shared" si="0"/>
        <v>4070</v>
      </c>
    </row>
    <row r="11" spans="1:5" x14ac:dyDescent="0.35">
      <c r="A11" s="11" t="s">
        <v>19</v>
      </c>
      <c r="B11" s="5" t="s">
        <v>22</v>
      </c>
      <c r="C11" s="5">
        <v>847</v>
      </c>
      <c r="D11" s="6">
        <v>577</v>
      </c>
      <c r="E11" s="6">
        <f t="shared" si="0"/>
        <v>270</v>
      </c>
    </row>
    <row r="12" spans="1:5" x14ac:dyDescent="0.35">
      <c r="A12" s="10" t="s">
        <v>21</v>
      </c>
      <c r="B12" s="3" t="s">
        <v>24</v>
      </c>
      <c r="C12" s="3">
        <v>24149</v>
      </c>
      <c r="D12" s="4">
        <v>24149</v>
      </c>
      <c r="E12" s="4">
        <f t="shared" si="0"/>
        <v>0</v>
      </c>
    </row>
    <row r="13" spans="1:5" x14ac:dyDescent="0.35">
      <c r="A13" s="11" t="s">
        <v>23</v>
      </c>
      <c r="B13" s="5" t="s">
        <v>26</v>
      </c>
      <c r="C13" s="5">
        <v>11374</v>
      </c>
      <c r="D13" s="6">
        <v>10819</v>
      </c>
      <c r="E13" s="6">
        <f t="shared" si="0"/>
        <v>555</v>
      </c>
    </row>
    <row r="14" spans="1:5" x14ac:dyDescent="0.35">
      <c r="A14" s="10" t="s">
        <v>25</v>
      </c>
      <c r="B14" s="3" t="s">
        <v>28</v>
      </c>
      <c r="C14" s="3">
        <v>1567</v>
      </c>
      <c r="D14" s="4">
        <v>1445</v>
      </c>
      <c r="E14" s="4">
        <f t="shared" si="0"/>
        <v>122</v>
      </c>
    </row>
    <row r="15" spans="1:5" x14ac:dyDescent="0.35">
      <c r="A15" s="11" t="s">
        <v>27</v>
      </c>
      <c r="B15" s="5" t="s">
        <v>30</v>
      </c>
      <c r="C15" s="5">
        <v>3329</v>
      </c>
      <c r="D15" s="6">
        <v>2384</v>
      </c>
      <c r="E15" s="6">
        <f t="shared" si="0"/>
        <v>945</v>
      </c>
    </row>
    <row r="16" spans="1:5" x14ac:dyDescent="0.35">
      <c r="A16" s="10" t="s">
        <v>29</v>
      </c>
      <c r="B16" s="3" t="s">
        <v>32</v>
      </c>
      <c r="C16" s="3">
        <v>8732</v>
      </c>
      <c r="D16" s="4">
        <v>7551</v>
      </c>
      <c r="E16" s="4">
        <f t="shared" si="0"/>
        <v>1181</v>
      </c>
    </row>
    <row r="17" spans="1:5" x14ac:dyDescent="0.35">
      <c r="A17" s="11" t="s">
        <v>31</v>
      </c>
      <c r="B17" s="5" t="s">
        <v>34</v>
      </c>
      <c r="C17" s="5">
        <v>36556</v>
      </c>
      <c r="D17" s="6">
        <v>34387</v>
      </c>
      <c r="E17" s="6">
        <f t="shared" si="0"/>
        <v>2169</v>
      </c>
    </row>
    <row r="18" spans="1:5" x14ac:dyDescent="0.35">
      <c r="A18" s="10" t="s">
        <v>33</v>
      </c>
      <c r="B18" s="3" t="s">
        <v>36</v>
      </c>
      <c r="C18" s="3">
        <v>2803</v>
      </c>
      <c r="D18" s="4">
        <v>2801</v>
      </c>
      <c r="E18" s="4">
        <f t="shared" si="0"/>
        <v>2</v>
      </c>
    </row>
    <row r="19" spans="1:5" x14ac:dyDescent="0.35">
      <c r="A19" s="11" t="s">
        <v>35</v>
      </c>
      <c r="B19" s="5" t="s">
        <v>78</v>
      </c>
      <c r="C19" s="5">
        <v>194</v>
      </c>
      <c r="D19" s="6">
        <v>0</v>
      </c>
      <c r="E19" s="6">
        <f t="shared" si="0"/>
        <v>194</v>
      </c>
    </row>
    <row r="20" spans="1:5" x14ac:dyDescent="0.35">
      <c r="A20" s="10" t="s">
        <v>37</v>
      </c>
      <c r="B20" s="3" t="s">
        <v>38</v>
      </c>
      <c r="C20" s="3">
        <v>19732</v>
      </c>
      <c r="D20" s="4">
        <v>18251</v>
      </c>
      <c r="E20" s="4">
        <f t="shared" si="0"/>
        <v>1481</v>
      </c>
    </row>
    <row r="21" spans="1:5" x14ac:dyDescent="0.35">
      <c r="A21" s="11" t="s">
        <v>39</v>
      </c>
      <c r="B21" s="5" t="s">
        <v>40</v>
      </c>
      <c r="C21" s="5">
        <v>166465</v>
      </c>
      <c r="D21" s="6">
        <v>166465</v>
      </c>
      <c r="E21" s="6">
        <f t="shared" si="0"/>
        <v>0</v>
      </c>
    </row>
    <row r="22" spans="1:5" x14ac:dyDescent="0.35">
      <c r="A22" s="10" t="s">
        <v>41</v>
      </c>
      <c r="B22" s="3" t="s">
        <v>42</v>
      </c>
      <c r="C22" s="3">
        <v>512</v>
      </c>
      <c r="D22" s="4">
        <v>443</v>
      </c>
      <c r="E22" s="4">
        <f t="shared" si="0"/>
        <v>69</v>
      </c>
    </row>
    <row r="23" spans="1:5" x14ac:dyDescent="0.35">
      <c r="A23" s="11" t="s">
        <v>43</v>
      </c>
      <c r="B23" s="5" t="s">
        <v>44</v>
      </c>
      <c r="C23" s="5">
        <v>152</v>
      </c>
      <c r="D23" s="6">
        <v>152</v>
      </c>
      <c r="E23" s="6">
        <f t="shared" si="0"/>
        <v>0</v>
      </c>
    </row>
    <row r="24" spans="1:5" x14ac:dyDescent="0.35">
      <c r="A24" s="10" t="s">
        <v>45</v>
      </c>
      <c r="B24" s="3" t="s">
        <v>46</v>
      </c>
      <c r="C24" s="3">
        <v>581</v>
      </c>
      <c r="D24" s="4">
        <v>188</v>
      </c>
      <c r="E24" s="4">
        <f t="shared" si="0"/>
        <v>393</v>
      </c>
    </row>
    <row r="25" spans="1:5" x14ac:dyDescent="0.35">
      <c r="A25" s="11" t="s">
        <v>47</v>
      </c>
      <c r="B25" s="5" t="s">
        <v>48</v>
      </c>
      <c r="C25" s="5">
        <v>235</v>
      </c>
      <c r="D25" s="6">
        <v>235</v>
      </c>
      <c r="E25" s="6">
        <f t="shared" si="0"/>
        <v>0</v>
      </c>
    </row>
    <row r="26" spans="1:5" x14ac:dyDescent="0.35">
      <c r="A26" s="10" t="s">
        <v>49</v>
      </c>
      <c r="B26" s="3" t="s">
        <v>50</v>
      </c>
      <c r="C26" s="3">
        <v>11999</v>
      </c>
      <c r="D26" s="4">
        <v>9072</v>
      </c>
      <c r="E26" s="4">
        <f t="shared" si="0"/>
        <v>2927</v>
      </c>
    </row>
    <row r="27" spans="1:5" x14ac:dyDescent="0.35">
      <c r="A27" s="11" t="s">
        <v>51</v>
      </c>
      <c r="B27" s="5" t="s">
        <v>52</v>
      </c>
      <c r="C27" s="5">
        <v>836</v>
      </c>
      <c r="D27" s="6">
        <v>466</v>
      </c>
      <c r="E27" s="6">
        <f t="shared" si="0"/>
        <v>370</v>
      </c>
    </row>
    <row r="28" spans="1:5" x14ac:dyDescent="0.35">
      <c r="A28" s="10" t="s">
        <v>53</v>
      </c>
      <c r="B28" s="3" t="s">
        <v>54</v>
      </c>
      <c r="C28" s="3">
        <v>11388</v>
      </c>
      <c r="D28" s="4">
        <v>10775</v>
      </c>
      <c r="E28" s="4">
        <f t="shared" si="0"/>
        <v>613</v>
      </c>
    </row>
    <row r="29" spans="1:5" x14ac:dyDescent="0.35">
      <c r="A29" s="11" t="s">
        <v>55</v>
      </c>
      <c r="B29" s="5" t="s">
        <v>56</v>
      </c>
      <c r="C29" s="5">
        <v>31300</v>
      </c>
      <c r="D29" s="6">
        <v>23147</v>
      </c>
      <c r="E29" s="6">
        <f t="shared" si="0"/>
        <v>8153</v>
      </c>
    </row>
    <row r="30" spans="1:5" x14ac:dyDescent="0.35">
      <c r="A30" s="10" t="s">
        <v>57</v>
      </c>
      <c r="B30" s="3" t="s">
        <v>58</v>
      </c>
      <c r="C30" s="3">
        <v>163</v>
      </c>
      <c r="D30" s="4">
        <v>163</v>
      </c>
      <c r="E30" s="4">
        <f t="shared" si="0"/>
        <v>0</v>
      </c>
    </row>
    <row r="31" spans="1:5" x14ac:dyDescent="0.35">
      <c r="A31" s="11" t="s">
        <v>59</v>
      </c>
      <c r="B31" s="5" t="s">
        <v>60</v>
      </c>
      <c r="C31" s="5">
        <v>92744</v>
      </c>
      <c r="D31" s="6">
        <v>89648</v>
      </c>
      <c r="E31" s="6">
        <f t="shared" si="0"/>
        <v>3096</v>
      </c>
    </row>
    <row r="32" spans="1:5" x14ac:dyDescent="0.35">
      <c r="A32" s="10" t="s">
        <v>61</v>
      </c>
      <c r="B32" s="3" t="s">
        <v>62</v>
      </c>
      <c r="C32" s="3">
        <v>10209</v>
      </c>
      <c r="D32" s="4">
        <v>6000</v>
      </c>
      <c r="E32" s="4">
        <f t="shared" si="0"/>
        <v>4209</v>
      </c>
    </row>
    <row r="33" spans="1:5" x14ac:dyDescent="0.35">
      <c r="A33" s="11" t="s">
        <v>63</v>
      </c>
      <c r="B33" s="5" t="s">
        <v>64</v>
      </c>
      <c r="C33" s="5">
        <v>1073</v>
      </c>
      <c r="D33" s="6">
        <v>883</v>
      </c>
      <c r="E33" s="6">
        <f t="shared" si="0"/>
        <v>190</v>
      </c>
    </row>
    <row r="34" spans="1:5" x14ac:dyDescent="0.35">
      <c r="A34" s="10" t="s">
        <v>65</v>
      </c>
      <c r="B34" s="3" t="s">
        <v>66</v>
      </c>
      <c r="C34" s="3">
        <v>69292</v>
      </c>
      <c r="D34" s="4">
        <v>62490</v>
      </c>
      <c r="E34" s="4">
        <f t="shared" si="0"/>
        <v>6802</v>
      </c>
    </row>
    <row r="35" spans="1:5" x14ac:dyDescent="0.35">
      <c r="A35" s="11" t="s">
        <v>67</v>
      </c>
      <c r="B35" s="5" t="s">
        <v>68</v>
      </c>
      <c r="C35" s="5">
        <v>4642</v>
      </c>
      <c r="D35" s="6">
        <v>4547</v>
      </c>
      <c r="E35" s="6">
        <f t="shared" si="0"/>
        <v>95</v>
      </c>
    </row>
    <row r="36" spans="1:5" x14ac:dyDescent="0.35">
      <c r="A36" s="10" t="s">
        <v>69</v>
      </c>
      <c r="B36" s="3" t="s">
        <v>70</v>
      </c>
      <c r="C36" s="3">
        <v>5746</v>
      </c>
      <c r="D36" s="4">
        <v>299</v>
      </c>
      <c r="E36" s="4">
        <f t="shared" si="0"/>
        <v>5447</v>
      </c>
    </row>
    <row r="37" spans="1:5" x14ac:dyDescent="0.35">
      <c r="A37" s="11" t="s">
        <v>71</v>
      </c>
      <c r="B37" s="5" t="s">
        <v>71</v>
      </c>
      <c r="C37" s="5">
        <v>609509</v>
      </c>
      <c r="D37" s="6">
        <v>561298</v>
      </c>
      <c r="E37" s="6">
        <f t="shared" si="0"/>
        <v>48211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5ADDE8-D3E8-48D0-93E3-79D69EF7486B}">
  <dimension ref="A1:F37"/>
  <sheetViews>
    <sheetView zoomScale="76" workbookViewId="0">
      <selection activeCell="B19" sqref="B19"/>
    </sheetView>
  </sheetViews>
  <sheetFormatPr defaultRowHeight="14.5" x14ac:dyDescent="0.35"/>
  <cols>
    <col min="1" max="1" width="8.08984375" bestFit="1" customWidth="1"/>
    <col min="2" max="2" width="37.08984375" bestFit="1" customWidth="1"/>
    <col min="3" max="3" width="43.6328125" bestFit="1" customWidth="1"/>
    <col min="4" max="4" width="52.6328125" bestFit="1" customWidth="1"/>
    <col min="5" max="5" width="43.36328125" bestFit="1" customWidth="1"/>
    <col min="6" max="6" width="52.08984375" bestFit="1" customWidth="1"/>
  </cols>
  <sheetData>
    <row r="1" spans="1:6" x14ac:dyDescent="0.35">
      <c r="A1" t="s">
        <v>72</v>
      </c>
      <c r="B1" t="s">
        <v>73</v>
      </c>
      <c r="C1" t="s">
        <v>129</v>
      </c>
      <c r="D1" t="s">
        <v>130</v>
      </c>
      <c r="E1" t="s">
        <v>74</v>
      </c>
      <c r="F1" t="s">
        <v>75</v>
      </c>
    </row>
    <row r="2" spans="1:6" x14ac:dyDescent="0.35">
      <c r="A2" t="s">
        <v>3</v>
      </c>
      <c r="B2" t="s">
        <v>4</v>
      </c>
      <c r="C2">
        <v>243764</v>
      </c>
      <c r="D2">
        <v>0</v>
      </c>
      <c r="E2">
        <v>17797</v>
      </c>
      <c r="F2">
        <v>0</v>
      </c>
    </row>
    <row r="3" spans="1:6" x14ac:dyDescent="0.35">
      <c r="A3" t="s">
        <v>5</v>
      </c>
      <c r="B3" t="s">
        <v>76</v>
      </c>
      <c r="C3">
        <v>336</v>
      </c>
      <c r="D3">
        <v>0</v>
      </c>
      <c r="E3">
        <v>603</v>
      </c>
      <c r="F3">
        <v>0</v>
      </c>
    </row>
    <row r="4" spans="1:6" x14ac:dyDescent="0.35">
      <c r="A4" t="s">
        <v>7</v>
      </c>
      <c r="B4" t="s">
        <v>8</v>
      </c>
      <c r="C4">
        <v>9743</v>
      </c>
      <c r="D4">
        <v>0</v>
      </c>
      <c r="E4">
        <v>46</v>
      </c>
      <c r="F4">
        <v>0</v>
      </c>
    </row>
    <row r="5" spans="1:6" x14ac:dyDescent="0.35">
      <c r="A5" t="s">
        <v>9</v>
      </c>
      <c r="B5" t="s">
        <v>10</v>
      </c>
      <c r="C5">
        <v>73747</v>
      </c>
      <c r="D5">
        <v>669</v>
      </c>
      <c r="E5">
        <v>3350</v>
      </c>
      <c r="F5">
        <v>6</v>
      </c>
    </row>
    <row r="6" spans="1:6" x14ac:dyDescent="0.35">
      <c r="A6" t="s">
        <v>11</v>
      </c>
      <c r="B6" t="s">
        <v>12</v>
      </c>
      <c r="C6">
        <v>393613</v>
      </c>
      <c r="D6">
        <v>0</v>
      </c>
      <c r="E6">
        <v>20878</v>
      </c>
      <c r="F6">
        <v>5575</v>
      </c>
    </row>
    <row r="7" spans="1:6" x14ac:dyDescent="0.35">
      <c r="A7" t="s">
        <v>13</v>
      </c>
      <c r="B7" t="s">
        <v>14</v>
      </c>
      <c r="C7">
        <v>6117</v>
      </c>
      <c r="D7">
        <v>0</v>
      </c>
      <c r="E7">
        <v>2512</v>
      </c>
      <c r="F7">
        <v>0</v>
      </c>
    </row>
    <row r="8" spans="1:6" x14ac:dyDescent="0.35">
      <c r="A8" t="s">
        <v>15</v>
      </c>
      <c r="B8" t="s">
        <v>16</v>
      </c>
      <c r="C8">
        <v>325050</v>
      </c>
      <c r="D8">
        <v>0</v>
      </c>
      <c r="E8">
        <v>18832</v>
      </c>
      <c r="F8">
        <v>0</v>
      </c>
    </row>
    <row r="9" spans="1:6" x14ac:dyDescent="0.35">
      <c r="A9" t="s">
        <v>17</v>
      </c>
      <c r="B9" t="s">
        <v>77</v>
      </c>
      <c r="C9">
        <v>2378</v>
      </c>
      <c r="D9">
        <v>0</v>
      </c>
      <c r="E9">
        <v>615</v>
      </c>
      <c r="F9">
        <v>0</v>
      </c>
    </row>
    <row r="10" spans="1:6" x14ac:dyDescent="0.35">
      <c r="A10" t="s">
        <v>18</v>
      </c>
      <c r="B10" t="s">
        <v>20</v>
      </c>
      <c r="C10">
        <v>725</v>
      </c>
      <c r="D10">
        <v>0</v>
      </c>
      <c r="E10">
        <v>28256</v>
      </c>
      <c r="F10">
        <v>0</v>
      </c>
    </row>
    <row r="11" spans="1:6" x14ac:dyDescent="0.35">
      <c r="A11" t="s">
        <v>19</v>
      </c>
      <c r="B11" t="s">
        <v>22</v>
      </c>
      <c r="C11">
        <v>3741</v>
      </c>
      <c r="D11">
        <v>59</v>
      </c>
      <c r="E11">
        <v>847</v>
      </c>
      <c r="F11">
        <v>15</v>
      </c>
    </row>
    <row r="12" spans="1:6" x14ac:dyDescent="0.35">
      <c r="A12" t="s">
        <v>21</v>
      </c>
      <c r="B12" t="s">
        <v>24</v>
      </c>
      <c r="C12">
        <v>560046</v>
      </c>
      <c r="D12">
        <v>0</v>
      </c>
      <c r="E12">
        <v>24149</v>
      </c>
      <c r="F12">
        <v>0</v>
      </c>
    </row>
    <row r="13" spans="1:6" x14ac:dyDescent="0.35">
      <c r="A13" t="s">
        <v>23</v>
      </c>
      <c r="B13" t="s">
        <v>26</v>
      </c>
      <c r="C13">
        <v>66427</v>
      </c>
      <c r="D13">
        <v>0</v>
      </c>
      <c r="E13">
        <v>11374</v>
      </c>
      <c r="F13">
        <v>0</v>
      </c>
    </row>
    <row r="14" spans="1:6" x14ac:dyDescent="0.35">
      <c r="A14" t="s">
        <v>25</v>
      </c>
      <c r="B14" t="s">
        <v>28</v>
      </c>
      <c r="C14">
        <v>6687</v>
      </c>
      <c r="D14">
        <v>16</v>
      </c>
      <c r="E14">
        <v>1567</v>
      </c>
      <c r="F14">
        <v>133</v>
      </c>
    </row>
    <row r="15" spans="1:6" x14ac:dyDescent="0.35">
      <c r="A15" t="s">
        <v>27</v>
      </c>
      <c r="B15" t="s">
        <v>30</v>
      </c>
      <c r="C15">
        <v>51235</v>
      </c>
      <c r="D15">
        <v>11</v>
      </c>
      <c r="E15">
        <v>3329</v>
      </c>
      <c r="F15">
        <v>0</v>
      </c>
    </row>
    <row r="16" spans="1:6" x14ac:dyDescent="0.35">
      <c r="A16" t="s">
        <v>29</v>
      </c>
      <c r="B16" t="s">
        <v>32</v>
      </c>
      <c r="C16">
        <v>218576</v>
      </c>
      <c r="D16">
        <v>75</v>
      </c>
      <c r="E16">
        <v>8732</v>
      </c>
      <c r="F16">
        <v>0</v>
      </c>
    </row>
    <row r="17" spans="1:6" x14ac:dyDescent="0.35">
      <c r="A17" t="s">
        <v>31</v>
      </c>
      <c r="B17" t="s">
        <v>34</v>
      </c>
      <c r="C17">
        <v>393278</v>
      </c>
      <c r="D17">
        <v>0</v>
      </c>
      <c r="E17">
        <v>36556</v>
      </c>
      <c r="F17">
        <v>0</v>
      </c>
    </row>
    <row r="18" spans="1:6" x14ac:dyDescent="0.35">
      <c r="A18" t="s">
        <v>33</v>
      </c>
      <c r="B18" t="s">
        <v>36</v>
      </c>
      <c r="C18">
        <v>37207</v>
      </c>
      <c r="D18">
        <v>0</v>
      </c>
      <c r="E18">
        <v>2803</v>
      </c>
      <c r="F18">
        <v>0</v>
      </c>
    </row>
    <row r="19" spans="1:6" x14ac:dyDescent="0.35">
      <c r="A19" t="s">
        <v>35</v>
      </c>
      <c r="B19" t="s">
        <v>78</v>
      </c>
      <c r="C19">
        <v>400</v>
      </c>
      <c r="D19">
        <v>0</v>
      </c>
      <c r="E19">
        <v>194</v>
      </c>
      <c r="F19">
        <v>0</v>
      </c>
    </row>
    <row r="20" spans="1:6" x14ac:dyDescent="0.35">
      <c r="A20" t="s">
        <v>37</v>
      </c>
      <c r="B20" t="s">
        <v>38</v>
      </c>
      <c r="C20">
        <v>577437</v>
      </c>
      <c r="D20">
        <v>1825</v>
      </c>
      <c r="E20">
        <v>19732</v>
      </c>
      <c r="F20">
        <v>494</v>
      </c>
    </row>
    <row r="21" spans="1:6" x14ac:dyDescent="0.35">
      <c r="A21" t="s">
        <v>39</v>
      </c>
      <c r="B21" t="s">
        <v>40</v>
      </c>
      <c r="C21">
        <v>711353</v>
      </c>
      <c r="D21">
        <v>733</v>
      </c>
      <c r="E21">
        <v>166465</v>
      </c>
      <c r="F21">
        <v>0</v>
      </c>
    </row>
    <row r="22" spans="1:6" x14ac:dyDescent="0.35">
      <c r="A22" t="s">
        <v>41</v>
      </c>
      <c r="B22" t="s">
        <v>42</v>
      </c>
      <c r="C22">
        <v>37593</v>
      </c>
      <c r="D22">
        <v>477</v>
      </c>
      <c r="E22">
        <v>512</v>
      </c>
      <c r="F22">
        <v>0</v>
      </c>
    </row>
    <row r="23" spans="1:6" x14ac:dyDescent="0.35">
      <c r="A23" t="s">
        <v>43</v>
      </c>
      <c r="B23" t="s">
        <v>44</v>
      </c>
      <c r="C23">
        <v>1604</v>
      </c>
      <c r="D23">
        <v>0</v>
      </c>
      <c r="E23">
        <v>152</v>
      </c>
      <c r="F23">
        <v>0</v>
      </c>
    </row>
    <row r="24" spans="1:6" x14ac:dyDescent="0.35">
      <c r="A24" t="s">
        <v>45</v>
      </c>
      <c r="B24" t="s">
        <v>46</v>
      </c>
      <c r="C24">
        <v>9724</v>
      </c>
      <c r="D24">
        <v>1475</v>
      </c>
      <c r="E24">
        <v>581</v>
      </c>
      <c r="F24">
        <v>26</v>
      </c>
    </row>
    <row r="25" spans="1:6" x14ac:dyDescent="0.35">
      <c r="A25" t="s">
        <v>47</v>
      </c>
      <c r="B25" t="s">
        <v>48</v>
      </c>
      <c r="C25">
        <v>19847</v>
      </c>
      <c r="D25">
        <v>0</v>
      </c>
      <c r="E25">
        <v>235</v>
      </c>
      <c r="F25">
        <v>0</v>
      </c>
    </row>
    <row r="26" spans="1:6" x14ac:dyDescent="0.35">
      <c r="A26" t="s">
        <v>49</v>
      </c>
      <c r="B26" t="s">
        <v>50</v>
      </c>
      <c r="C26">
        <v>140301</v>
      </c>
      <c r="D26">
        <v>656</v>
      </c>
      <c r="E26">
        <v>11999</v>
      </c>
      <c r="F26">
        <v>47</v>
      </c>
    </row>
    <row r="27" spans="1:6" x14ac:dyDescent="0.35">
      <c r="A27" t="s">
        <v>51</v>
      </c>
      <c r="B27" t="s">
        <v>52</v>
      </c>
      <c r="C27">
        <v>5162</v>
      </c>
      <c r="D27">
        <v>0</v>
      </c>
      <c r="E27">
        <v>836</v>
      </c>
      <c r="F27">
        <v>0</v>
      </c>
    </row>
    <row r="28" spans="1:6" x14ac:dyDescent="0.35">
      <c r="A28" t="s">
        <v>53</v>
      </c>
      <c r="B28" t="s">
        <v>54</v>
      </c>
      <c r="C28">
        <v>103683</v>
      </c>
      <c r="D28">
        <v>0</v>
      </c>
      <c r="E28">
        <v>11388</v>
      </c>
      <c r="F28">
        <v>123</v>
      </c>
    </row>
    <row r="29" spans="1:6" x14ac:dyDescent="0.35">
      <c r="A29" t="s">
        <v>55</v>
      </c>
      <c r="B29" t="s">
        <v>56</v>
      </c>
      <c r="C29">
        <v>367974</v>
      </c>
      <c r="D29">
        <v>541</v>
      </c>
      <c r="E29">
        <v>31300</v>
      </c>
      <c r="F29">
        <v>0</v>
      </c>
    </row>
    <row r="30" spans="1:6" x14ac:dyDescent="0.35">
      <c r="A30" t="s">
        <v>57</v>
      </c>
      <c r="B30" t="s">
        <v>58</v>
      </c>
      <c r="C30">
        <v>1066</v>
      </c>
      <c r="D30">
        <v>115</v>
      </c>
      <c r="E30">
        <v>163</v>
      </c>
      <c r="F30">
        <v>0</v>
      </c>
    </row>
    <row r="31" spans="1:6" x14ac:dyDescent="0.35">
      <c r="A31" t="s">
        <v>59</v>
      </c>
      <c r="B31" t="s">
        <v>60</v>
      </c>
      <c r="C31">
        <v>508562</v>
      </c>
      <c r="D31">
        <v>0</v>
      </c>
      <c r="E31">
        <v>92744</v>
      </c>
      <c r="F31">
        <v>0</v>
      </c>
    </row>
    <row r="32" spans="1:6" x14ac:dyDescent="0.35">
      <c r="A32" t="s">
        <v>61</v>
      </c>
      <c r="B32" t="s">
        <v>62</v>
      </c>
      <c r="C32">
        <v>156043</v>
      </c>
      <c r="D32">
        <v>1122</v>
      </c>
      <c r="E32">
        <v>10209</v>
      </c>
      <c r="F32">
        <v>5256</v>
      </c>
    </row>
    <row r="33" spans="1:6" x14ac:dyDescent="0.35">
      <c r="A33" t="s">
        <v>63</v>
      </c>
      <c r="B33" t="s">
        <v>64</v>
      </c>
      <c r="C33">
        <v>20269</v>
      </c>
      <c r="D33">
        <v>159</v>
      </c>
      <c r="E33">
        <v>1073</v>
      </c>
      <c r="F33">
        <v>16</v>
      </c>
    </row>
    <row r="34" spans="1:6" x14ac:dyDescent="0.35">
      <c r="A34" t="s">
        <v>65</v>
      </c>
      <c r="B34" t="s">
        <v>66</v>
      </c>
      <c r="C34">
        <v>896492</v>
      </c>
      <c r="D34">
        <v>1205</v>
      </c>
      <c r="E34">
        <v>69292</v>
      </c>
      <c r="F34">
        <v>7</v>
      </c>
    </row>
    <row r="35" spans="1:6" x14ac:dyDescent="0.35">
      <c r="A35" t="s">
        <v>67</v>
      </c>
      <c r="B35" t="s">
        <v>68</v>
      </c>
      <c r="C35">
        <v>23545</v>
      </c>
      <c r="D35">
        <v>0</v>
      </c>
      <c r="E35">
        <v>4642</v>
      </c>
      <c r="F35">
        <v>0</v>
      </c>
    </row>
    <row r="36" spans="1:6" x14ac:dyDescent="0.35">
      <c r="A36" t="s">
        <v>69</v>
      </c>
      <c r="B36" t="s">
        <v>70</v>
      </c>
      <c r="C36">
        <v>282542</v>
      </c>
      <c r="D36">
        <v>0</v>
      </c>
      <c r="E36">
        <v>5746</v>
      </c>
      <c r="F36">
        <v>0</v>
      </c>
    </row>
    <row r="37" spans="1:6" x14ac:dyDescent="0.35">
      <c r="A37" t="s">
        <v>71</v>
      </c>
      <c r="B37" t="s">
        <v>71</v>
      </c>
      <c r="C37">
        <v>6256267</v>
      </c>
      <c r="D37">
        <v>9138</v>
      </c>
      <c r="E37">
        <v>609509</v>
      </c>
      <c r="F37">
        <v>11698</v>
      </c>
    </row>
  </sheetData>
  <phoneticPr fontId="4"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AD7B76-4BF4-4E8A-B2D1-FFB3EBB301B7}">
  <dimension ref="A1:F37"/>
  <sheetViews>
    <sheetView workbookViewId="0">
      <selection activeCell="E2" sqref="E2"/>
    </sheetView>
  </sheetViews>
  <sheetFormatPr defaultRowHeight="14.5" x14ac:dyDescent="0.35"/>
  <cols>
    <col min="1" max="1" width="8.453125" bestFit="1" customWidth="1"/>
    <col min="2" max="2" width="36.1796875" bestFit="1" customWidth="1"/>
    <col min="3" max="3" width="34.08984375" bestFit="1" customWidth="1"/>
    <col min="4" max="4" width="44.7265625" bestFit="1" customWidth="1"/>
    <col min="5" max="5" width="7.08984375" bestFit="1" customWidth="1"/>
    <col min="6" max="6" width="30.7265625" bestFit="1" customWidth="1"/>
  </cols>
  <sheetData>
    <row r="1" spans="1:6" x14ac:dyDescent="0.35">
      <c r="A1" t="s">
        <v>79</v>
      </c>
      <c r="B1" t="s">
        <v>80</v>
      </c>
      <c r="C1" t="s">
        <v>131</v>
      </c>
      <c r="D1" t="s">
        <v>132</v>
      </c>
      <c r="E1" t="s">
        <v>85</v>
      </c>
      <c r="F1" t="s">
        <v>84</v>
      </c>
    </row>
    <row r="2" spans="1:6" x14ac:dyDescent="0.35">
      <c r="A2" t="s">
        <v>3</v>
      </c>
      <c r="B2" t="s">
        <v>4</v>
      </c>
      <c r="C2">
        <v>243764</v>
      </c>
      <c r="D2">
        <v>17799</v>
      </c>
      <c r="E2" s="8">
        <v>17797</v>
      </c>
      <c r="F2">
        <f>D2-E2</f>
        <v>2</v>
      </c>
    </row>
    <row r="3" spans="1:6" x14ac:dyDescent="0.35">
      <c r="A3" t="s">
        <v>5</v>
      </c>
      <c r="B3" t="s">
        <v>6</v>
      </c>
      <c r="C3">
        <v>336</v>
      </c>
      <c r="D3">
        <v>609</v>
      </c>
      <c r="E3" s="9">
        <v>603</v>
      </c>
      <c r="F3">
        <f>D3-E3</f>
        <v>6</v>
      </c>
    </row>
    <row r="4" spans="1:6" x14ac:dyDescent="0.35">
      <c r="A4" t="s">
        <v>7</v>
      </c>
      <c r="B4" t="s">
        <v>8</v>
      </c>
      <c r="C4">
        <v>9743</v>
      </c>
      <c r="D4">
        <v>89</v>
      </c>
      <c r="E4" s="8">
        <v>46</v>
      </c>
      <c r="F4">
        <f>D4-E4</f>
        <v>43</v>
      </c>
    </row>
    <row r="5" spans="1:6" x14ac:dyDescent="0.35">
      <c r="A5" t="s">
        <v>9</v>
      </c>
      <c r="B5" t="s">
        <v>10</v>
      </c>
      <c r="C5">
        <v>78214</v>
      </c>
      <c r="D5">
        <v>3356</v>
      </c>
      <c r="E5" s="9">
        <v>3350</v>
      </c>
      <c r="F5">
        <f>D5-E5</f>
        <v>6</v>
      </c>
    </row>
    <row r="6" spans="1:6" x14ac:dyDescent="0.35">
      <c r="A6" t="s">
        <v>11</v>
      </c>
      <c r="B6" t="s">
        <v>12</v>
      </c>
      <c r="C6">
        <v>393613</v>
      </c>
      <c r="D6">
        <v>28677</v>
      </c>
      <c r="E6" s="8">
        <v>20878</v>
      </c>
      <c r="F6">
        <f>D6-E6</f>
        <v>7799</v>
      </c>
    </row>
    <row r="7" spans="1:6" x14ac:dyDescent="0.35">
      <c r="A7" t="s">
        <v>13</v>
      </c>
      <c r="B7" t="s">
        <v>14</v>
      </c>
      <c r="C7">
        <v>6117</v>
      </c>
      <c r="D7">
        <v>2512</v>
      </c>
      <c r="E7" s="9">
        <v>2512</v>
      </c>
      <c r="F7">
        <f>D7-E7</f>
        <v>0</v>
      </c>
    </row>
    <row r="8" spans="1:6" x14ac:dyDescent="0.35">
      <c r="A8" t="s">
        <v>15</v>
      </c>
      <c r="B8" t="s">
        <v>16</v>
      </c>
      <c r="C8">
        <v>326429</v>
      </c>
      <c r="D8">
        <v>18832</v>
      </c>
      <c r="E8" s="8">
        <v>18832</v>
      </c>
      <c r="F8">
        <f>D8-E8</f>
        <v>0</v>
      </c>
    </row>
    <row r="9" spans="1:6" x14ac:dyDescent="0.35">
      <c r="A9" t="s">
        <v>17</v>
      </c>
      <c r="B9" t="s">
        <v>77</v>
      </c>
      <c r="C9">
        <v>2378</v>
      </c>
      <c r="D9">
        <v>615</v>
      </c>
      <c r="E9" s="9">
        <v>615</v>
      </c>
      <c r="F9">
        <f>D9-E9</f>
        <v>0</v>
      </c>
    </row>
    <row r="10" spans="1:6" x14ac:dyDescent="0.35">
      <c r="A10" t="s">
        <v>18</v>
      </c>
      <c r="B10" t="s">
        <v>20</v>
      </c>
      <c r="C10">
        <v>725</v>
      </c>
      <c r="D10">
        <v>28256</v>
      </c>
      <c r="E10" s="8">
        <v>28256</v>
      </c>
      <c r="F10">
        <f>D10-E10</f>
        <v>0</v>
      </c>
    </row>
    <row r="11" spans="1:6" x14ac:dyDescent="0.35">
      <c r="A11" t="s">
        <v>19</v>
      </c>
      <c r="B11" t="s">
        <v>22</v>
      </c>
      <c r="C11">
        <v>3800</v>
      </c>
      <c r="D11">
        <v>1270</v>
      </c>
      <c r="E11" s="9">
        <v>847</v>
      </c>
      <c r="F11">
        <f>D11-E11</f>
        <v>423</v>
      </c>
    </row>
    <row r="12" spans="1:6" x14ac:dyDescent="0.35">
      <c r="A12" t="s">
        <v>21</v>
      </c>
      <c r="B12" t="s">
        <v>24</v>
      </c>
      <c r="C12">
        <v>560046</v>
      </c>
      <c r="D12">
        <v>24149</v>
      </c>
      <c r="E12" s="8">
        <v>24149</v>
      </c>
      <c r="F12">
        <f>D12-E12</f>
        <v>0</v>
      </c>
    </row>
    <row r="13" spans="1:6" x14ac:dyDescent="0.35">
      <c r="A13" t="s">
        <v>23</v>
      </c>
      <c r="B13" t="s">
        <v>26</v>
      </c>
      <c r="C13">
        <v>66638</v>
      </c>
      <c r="D13">
        <v>11374</v>
      </c>
      <c r="E13" s="9">
        <v>11374</v>
      </c>
      <c r="F13">
        <f>D13-E13</f>
        <v>0</v>
      </c>
    </row>
    <row r="14" spans="1:6" x14ac:dyDescent="0.35">
      <c r="A14" t="s">
        <v>25</v>
      </c>
      <c r="B14" t="s">
        <v>28</v>
      </c>
      <c r="C14">
        <v>6743</v>
      </c>
      <c r="D14">
        <v>1700</v>
      </c>
      <c r="E14" s="8">
        <v>1567</v>
      </c>
      <c r="F14">
        <f>D14-E14</f>
        <v>133</v>
      </c>
    </row>
    <row r="15" spans="1:6" x14ac:dyDescent="0.35">
      <c r="A15" t="s">
        <v>27</v>
      </c>
      <c r="B15" t="s">
        <v>30</v>
      </c>
      <c r="C15">
        <v>51246</v>
      </c>
      <c r="D15">
        <v>3451</v>
      </c>
      <c r="E15" s="9">
        <v>3329</v>
      </c>
      <c r="F15">
        <f>D15-E15</f>
        <v>122</v>
      </c>
    </row>
    <row r="16" spans="1:6" x14ac:dyDescent="0.35">
      <c r="A16" t="s">
        <v>29</v>
      </c>
      <c r="B16" t="s">
        <v>32</v>
      </c>
      <c r="C16">
        <v>218686</v>
      </c>
      <c r="D16">
        <v>9643</v>
      </c>
      <c r="E16" s="8">
        <v>8732</v>
      </c>
      <c r="F16">
        <f>D16-E16</f>
        <v>911</v>
      </c>
    </row>
    <row r="17" spans="1:6" x14ac:dyDescent="0.35">
      <c r="A17" t="s">
        <v>31</v>
      </c>
      <c r="B17" t="s">
        <v>34</v>
      </c>
      <c r="C17">
        <v>393278</v>
      </c>
      <c r="D17">
        <v>36556</v>
      </c>
      <c r="E17" s="9">
        <v>36556</v>
      </c>
      <c r="F17">
        <f>D17-E17</f>
        <v>0</v>
      </c>
    </row>
    <row r="18" spans="1:6" x14ac:dyDescent="0.35">
      <c r="A18" t="s">
        <v>33</v>
      </c>
      <c r="B18" t="s">
        <v>36</v>
      </c>
      <c r="C18">
        <v>37207</v>
      </c>
      <c r="D18">
        <v>2872</v>
      </c>
      <c r="E18" s="8">
        <v>2803</v>
      </c>
      <c r="F18">
        <f>D18-E18</f>
        <v>69</v>
      </c>
    </row>
    <row r="19" spans="1:6" x14ac:dyDescent="0.35">
      <c r="A19" t="s">
        <v>35</v>
      </c>
      <c r="B19" t="s">
        <v>78</v>
      </c>
      <c r="C19">
        <v>400</v>
      </c>
      <c r="D19">
        <v>194</v>
      </c>
      <c r="E19" s="9">
        <v>194</v>
      </c>
      <c r="F19">
        <f>D19-E19</f>
        <v>0</v>
      </c>
    </row>
    <row r="20" spans="1:6" x14ac:dyDescent="0.35">
      <c r="A20" t="s">
        <v>37</v>
      </c>
      <c r="B20" t="s">
        <v>38</v>
      </c>
      <c r="C20">
        <v>579642</v>
      </c>
      <c r="D20">
        <v>29867</v>
      </c>
      <c r="E20" s="8">
        <v>19732</v>
      </c>
      <c r="F20">
        <f>D20-E20</f>
        <v>10135</v>
      </c>
    </row>
    <row r="21" spans="1:6" x14ac:dyDescent="0.35">
      <c r="A21" t="s">
        <v>39</v>
      </c>
      <c r="B21" t="s">
        <v>40</v>
      </c>
      <c r="C21">
        <v>714978</v>
      </c>
      <c r="D21">
        <v>166465</v>
      </c>
      <c r="E21" s="9">
        <v>166465</v>
      </c>
      <c r="F21">
        <f>D21-E21</f>
        <v>0</v>
      </c>
    </row>
    <row r="22" spans="1:6" x14ac:dyDescent="0.35">
      <c r="A22" t="s">
        <v>41</v>
      </c>
      <c r="B22" t="s">
        <v>42</v>
      </c>
      <c r="C22">
        <v>39240</v>
      </c>
      <c r="D22">
        <v>581</v>
      </c>
      <c r="E22" s="8">
        <v>512</v>
      </c>
      <c r="F22">
        <f>D22-E22</f>
        <v>69</v>
      </c>
    </row>
    <row r="23" spans="1:6" x14ac:dyDescent="0.35">
      <c r="A23" t="s">
        <v>43</v>
      </c>
      <c r="B23" t="s">
        <v>44</v>
      </c>
      <c r="C23">
        <v>1604</v>
      </c>
      <c r="D23">
        <v>152</v>
      </c>
      <c r="E23" s="9">
        <v>152</v>
      </c>
      <c r="F23">
        <f>D23-E23</f>
        <v>0</v>
      </c>
    </row>
    <row r="24" spans="1:6" x14ac:dyDescent="0.35">
      <c r="A24" t="s">
        <v>45</v>
      </c>
      <c r="B24" t="s">
        <v>46</v>
      </c>
      <c r="C24">
        <v>12373</v>
      </c>
      <c r="D24">
        <v>1324</v>
      </c>
      <c r="E24" s="8">
        <v>581</v>
      </c>
      <c r="F24">
        <f>D24-E24</f>
        <v>743</v>
      </c>
    </row>
    <row r="25" spans="1:6" x14ac:dyDescent="0.35">
      <c r="A25" t="s">
        <v>47</v>
      </c>
      <c r="B25" t="s">
        <v>48</v>
      </c>
      <c r="C25">
        <v>19847</v>
      </c>
      <c r="D25">
        <v>238</v>
      </c>
      <c r="E25" s="9">
        <v>235</v>
      </c>
      <c r="F25">
        <f>D25-E25</f>
        <v>3</v>
      </c>
    </row>
    <row r="26" spans="1:6" x14ac:dyDescent="0.35">
      <c r="A26" t="s">
        <v>49</v>
      </c>
      <c r="B26" t="s">
        <v>50</v>
      </c>
      <c r="C26">
        <v>142598</v>
      </c>
      <c r="D26">
        <v>12211</v>
      </c>
      <c r="E26" s="8">
        <v>11999</v>
      </c>
      <c r="F26">
        <f>D26-E26</f>
        <v>212</v>
      </c>
    </row>
    <row r="27" spans="1:6" x14ac:dyDescent="0.35">
      <c r="A27" t="s">
        <v>51</v>
      </c>
      <c r="B27" t="s">
        <v>52</v>
      </c>
      <c r="C27">
        <v>5162</v>
      </c>
      <c r="D27">
        <v>836</v>
      </c>
      <c r="E27" s="9">
        <v>836</v>
      </c>
      <c r="F27">
        <f>D27-E27</f>
        <v>0</v>
      </c>
    </row>
    <row r="28" spans="1:6" x14ac:dyDescent="0.35">
      <c r="A28" t="s">
        <v>53</v>
      </c>
      <c r="B28" t="s">
        <v>54</v>
      </c>
      <c r="C28">
        <v>103683</v>
      </c>
      <c r="D28">
        <v>11522</v>
      </c>
      <c r="E28" s="8">
        <v>11388</v>
      </c>
      <c r="F28">
        <f>D28-E28</f>
        <v>134</v>
      </c>
    </row>
    <row r="29" spans="1:6" x14ac:dyDescent="0.35">
      <c r="A29" t="s">
        <v>55</v>
      </c>
      <c r="B29" t="s">
        <v>56</v>
      </c>
      <c r="C29">
        <v>368515</v>
      </c>
      <c r="D29">
        <v>31300</v>
      </c>
      <c r="E29" s="9">
        <v>31300</v>
      </c>
      <c r="F29">
        <f>D29-E29</f>
        <v>0</v>
      </c>
    </row>
    <row r="30" spans="1:6" x14ac:dyDescent="0.35">
      <c r="A30" t="s">
        <v>57</v>
      </c>
      <c r="B30" t="s">
        <v>58</v>
      </c>
      <c r="C30">
        <v>1398</v>
      </c>
      <c r="D30">
        <v>268</v>
      </c>
      <c r="E30" s="8">
        <v>163</v>
      </c>
      <c r="F30">
        <f>D30-E30</f>
        <v>105</v>
      </c>
    </row>
    <row r="31" spans="1:6" x14ac:dyDescent="0.35">
      <c r="A31" t="s">
        <v>59</v>
      </c>
      <c r="B31" t="s">
        <v>60</v>
      </c>
      <c r="C31">
        <v>508562</v>
      </c>
      <c r="D31">
        <v>92744</v>
      </c>
      <c r="E31" s="9">
        <v>92744</v>
      </c>
      <c r="F31">
        <f>D31-E31</f>
        <v>0</v>
      </c>
    </row>
    <row r="32" spans="1:6" x14ac:dyDescent="0.35">
      <c r="A32" t="s">
        <v>61</v>
      </c>
      <c r="B32" t="s">
        <v>62</v>
      </c>
      <c r="C32">
        <v>157165</v>
      </c>
      <c r="D32">
        <v>15465</v>
      </c>
      <c r="E32" s="8">
        <v>10209</v>
      </c>
      <c r="F32">
        <f>D32-E32</f>
        <v>5256</v>
      </c>
    </row>
    <row r="33" spans="1:6" x14ac:dyDescent="0.35">
      <c r="A33" t="s">
        <v>63</v>
      </c>
      <c r="B33" t="s">
        <v>64</v>
      </c>
      <c r="C33">
        <v>20935</v>
      </c>
      <c r="D33">
        <v>1089</v>
      </c>
      <c r="E33" s="9">
        <v>1073</v>
      </c>
      <c r="F33">
        <f>D33-E33</f>
        <v>16</v>
      </c>
    </row>
    <row r="34" spans="1:6" x14ac:dyDescent="0.35">
      <c r="A34" t="s">
        <v>65</v>
      </c>
      <c r="B34" t="s">
        <v>66</v>
      </c>
      <c r="C34">
        <v>897697</v>
      </c>
      <c r="D34">
        <v>70370</v>
      </c>
      <c r="E34" s="8">
        <v>69292</v>
      </c>
      <c r="F34">
        <f>D34-E34</f>
        <v>1078</v>
      </c>
    </row>
    <row r="35" spans="1:6" x14ac:dyDescent="0.35">
      <c r="A35" t="s">
        <v>67</v>
      </c>
      <c r="B35" t="s">
        <v>68</v>
      </c>
      <c r="C35">
        <v>25701</v>
      </c>
      <c r="D35">
        <v>4694</v>
      </c>
      <c r="E35" s="9">
        <v>4642</v>
      </c>
      <c r="F35">
        <f>D35-E35</f>
        <v>52</v>
      </c>
    </row>
    <row r="36" spans="1:6" x14ac:dyDescent="0.35">
      <c r="A36" t="s">
        <v>69</v>
      </c>
      <c r="B36" t="s">
        <v>70</v>
      </c>
      <c r="C36">
        <v>282542</v>
      </c>
      <c r="D36">
        <v>5746</v>
      </c>
      <c r="E36" s="8">
        <v>5746</v>
      </c>
      <c r="F36">
        <f>D36-E36</f>
        <v>0</v>
      </c>
    </row>
    <row r="37" spans="1:6" x14ac:dyDescent="0.35">
      <c r="A37" t="s">
        <v>71</v>
      </c>
      <c r="B37" t="s">
        <v>71</v>
      </c>
      <c r="C37">
        <v>6281005</v>
      </c>
      <c r="D37">
        <v>636826</v>
      </c>
      <c r="E37">
        <v>609509</v>
      </c>
      <c r="F37">
        <f>D37-E37</f>
        <v>27317</v>
      </c>
    </row>
  </sheetData>
  <phoneticPr fontId="4"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ED52ED-8891-44EB-A064-235F52A76C21}">
  <dimension ref="A3:B9"/>
  <sheetViews>
    <sheetView zoomScale="88" workbookViewId="0">
      <selection activeCell="C25" sqref="C25"/>
    </sheetView>
  </sheetViews>
  <sheetFormatPr defaultRowHeight="14.5" x14ac:dyDescent="0.35"/>
  <cols>
    <col min="1" max="1" width="14.1796875" bestFit="1" customWidth="1"/>
    <col min="2" max="2" width="12" bestFit="1" customWidth="1"/>
    <col min="3" max="3" width="32.6328125" bestFit="1" customWidth="1"/>
  </cols>
  <sheetData>
    <row r="3" spans="1:2" x14ac:dyDescent="0.35">
      <c r="A3" s="13" t="s">
        <v>91</v>
      </c>
      <c r="B3" t="s">
        <v>104</v>
      </c>
    </row>
    <row r="4" spans="1:2" x14ac:dyDescent="0.35">
      <c r="A4" s="14" t="s">
        <v>12</v>
      </c>
      <c r="B4" s="19">
        <v>7799</v>
      </c>
    </row>
    <row r="5" spans="1:2" x14ac:dyDescent="0.35">
      <c r="A5" s="14" t="s">
        <v>32</v>
      </c>
      <c r="B5" s="19">
        <v>911</v>
      </c>
    </row>
    <row r="6" spans="1:2" x14ac:dyDescent="0.35">
      <c r="A6" s="14" t="s">
        <v>38</v>
      </c>
      <c r="B6" s="19">
        <v>10135</v>
      </c>
    </row>
    <row r="7" spans="1:2" x14ac:dyDescent="0.35">
      <c r="A7" s="14" t="s">
        <v>62</v>
      </c>
      <c r="B7" s="19">
        <v>5256</v>
      </c>
    </row>
    <row r="8" spans="1:2" x14ac:dyDescent="0.35">
      <c r="A8" s="14" t="s">
        <v>66</v>
      </c>
      <c r="B8" s="19">
        <v>1078</v>
      </c>
    </row>
    <row r="9" spans="1:2" x14ac:dyDescent="0.35">
      <c r="A9" s="14" t="s">
        <v>92</v>
      </c>
      <c r="B9" s="19">
        <v>25179</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1F4480-23B3-4B0B-B845-BA1AD875F9D6}">
  <dimension ref="A3:B9"/>
  <sheetViews>
    <sheetView workbookViewId="0">
      <selection activeCell="B6" sqref="B6"/>
    </sheetView>
  </sheetViews>
  <sheetFormatPr defaultRowHeight="14.5" x14ac:dyDescent="0.35"/>
  <cols>
    <col min="1" max="1" width="12.453125" bestFit="1" customWidth="1"/>
    <col min="2" max="2" width="15.08984375" bestFit="1" customWidth="1"/>
    <col min="3" max="3" width="35.08984375" bestFit="1" customWidth="1"/>
  </cols>
  <sheetData>
    <row r="3" spans="1:2" x14ac:dyDescent="0.35">
      <c r="A3" s="13" t="s">
        <v>91</v>
      </c>
      <c r="B3" t="s">
        <v>103</v>
      </c>
    </row>
    <row r="4" spans="1:2" x14ac:dyDescent="0.35">
      <c r="A4" s="14" t="s">
        <v>12</v>
      </c>
      <c r="B4" s="19">
        <v>4754</v>
      </c>
    </row>
    <row r="5" spans="1:2" x14ac:dyDescent="0.35">
      <c r="A5" s="14" t="s">
        <v>56</v>
      </c>
      <c r="B5" s="19">
        <v>8153</v>
      </c>
    </row>
    <row r="6" spans="1:2" x14ac:dyDescent="0.35">
      <c r="A6" s="14" t="s">
        <v>62</v>
      </c>
      <c r="B6" s="19">
        <v>4209</v>
      </c>
    </row>
    <row r="7" spans="1:2" x14ac:dyDescent="0.35">
      <c r="A7" s="14" t="s">
        <v>66</v>
      </c>
      <c r="B7" s="19">
        <v>6802</v>
      </c>
    </row>
    <row r="8" spans="1:2" x14ac:dyDescent="0.35">
      <c r="A8" s="14" t="s">
        <v>70</v>
      </c>
      <c r="B8" s="19">
        <v>5447</v>
      </c>
    </row>
    <row r="9" spans="1:2" x14ac:dyDescent="0.35">
      <c r="A9" s="14" t="s">
        <v>92</v>
      </c>
      <c r="B9" s="19">
        <v>29365</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853C8-F84E-4DDA-91C8-75A0D02B9556}">
  <dimension ref="A4:B10"/>
  <sheetViews>
    <sheetView workbookViewId="0">
      <selection activeCell="K23" sqref="K23"/>
    </sheetView>
  </sheetViews>
  <sheetFormatPr defaultRowHeight="14.5" x14ac:dyDescent="0.35"/>
  <cols>
    <col min="1" max="1" width="12.453125" bestFit="1" customWidth="1"/>
    <col min="2" max="2" width="12" bestFit="1" customWidth="1"/>
    <col min="3" max="14" width="5.81640625" bestFit="1" customWidth="1"/>
    <col min="15" max="23" width="4.81640625" bestFit="1" customWidth="1"/>
    <col min="24" max="34" width="3.81640625" bestFit="1" customWidth="1"/>
    <col min="35" max="35" width="2.81640625" bestFit="1" customWidth="1"/>
    <col min="36" max="36" width="1.81640625" bestFit="1" customWidth="1"/>
    <col min="37" max="37" width="10.36328125" bestFit="1" customWidth="1"/>
  </cols>
  <sheetData>
    <row r="4" spans="1:2" x14ac:dyDescent="0.35">
      <c r="A4" s="13" t="s">
        <v>91</v>
      </c>
      <c r="B4" t="s">
        <v>102</v>
      </c>
    </row>
    <row r="5" spans="1:2" x14ac:dyDescent="0.35">
      <c r="A5" s="14" t="s">
        <v>66</v>
      </c>
      <c r="B5">
        <v>62490</v>
      </c>
    </row>
    <row r="6" spans="1:2" x14ac:dyDescent="0.35">
      <c r="A6" s="14" t="s">
        <v>60</v>
      </c>
      <c r="B6">
        <v>89648</v>
      </c>
    </row>
    <row r="7" spans="1:2" x14ac:dyDescent="0.35">
      <c r="A7" s="14" t="s">
        <v>40</v>
      </c>
      <c r="B7">
        <v>166465</v>
      </c>
    </row>
    <row r="8" spans="1:2" x14ac:dyDescent="0.35">
      <c r="A8" s="14" t="s">
        <v>34</v>
      </c>
      <c r="B8">
        <v>34387</v>
      </c>
    </row>
    <row r="9" spans="1:2" x14ac:dyDescent="0.35">
      <c r="A9" s="14" t="s">
        <v>20</v>
      </c>
      <c r="B9">
        <v>24186</v>
      </c>
    </row>
    <row r="10" spans="1:2" x14ac:dyDescent="0.35">
      <c r="A10" s="14" t="s">
        <v>92</v>
      </c>
      <c r="B10">
        <v>377176</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EEF4FD-B9E8-43B4-BB5A-BAEADFF5DA1A}">
  <dimension ref="A3:B11"/>
  <sheetViews>
    <sheetView zoomScale="73" workbookViewId="0">
      <selection activeCell="G22" sqref="G22"/>
    </sheetView>
  </sheetViews>
  <sheetFormatPr defaultRowHeight="14.5" x14ac:dyDescent="0.35"/>
  <cols>
    <col min="1" max="1" width="31.81640625" bestFit="1" customWidth="1"/>
    <col min="2" max="2" width="6.81640625" bestFit="1" customWidth="1"/>
    <col min="3" max="4" width="29.08984375" bestFit="1" customWidth="1"/>
  </cols>
  <sheetData>
    <row r="3" spans="1:2" x14ac:dyDescent="0.35">
      <c r="A3" s="13" t="s">
        <v>105</v>
      </c>
    </row>
    <row r="4" spans="1:2" x14ac:dyDescent="0.35">
      <c r="A4" s="14" t="s">
        <v>97</v>
      </c>
      <c r="B4" s="19">
        <v>561298</v>
      </c>
    </row>
    <row r="5" spans="1:2" x14ac:dyDescent="0.35">
      <c r="A5" s="14" t="s">
        <v>94</v>
      </c>
      <c r="B5" s="19">
        <v>609509</v>
      </c>
    </row>
    <row r="6" spans="1:2" x14ac:dyDescent="0.35">
      <c r="A6" s="14" t="s">
        <v>96</v>
      </c>
      <c r="B6" s="19">
        <v>636826</v>
      </c>
    </row>
    <row r="8" spans="1:2" x14ac:dyDescent="0.35">
      <c r="A8" s="14" t="s">
        <v>106</v>
      </c>
      <c r="B8" t="s">
        <v>121</v>
      </c>
    </row>
    <row r="9" spans="1:2" x14ac:dyDescent="0.35">
      <c r="A9" s="14" t="s">
        <v>122</v>
      </c>
      <c r="B9" s="18">
        <f>(B5-B4)/B4</f>
        <v>8.5891986075133001E-2</v>
      </c>
    </row>
    <row r="10" spans="1:2" x14ac:dyDescent="0.35">
      <c r="A10" s="14" t="s">
        <v>123</v>
      </c>
      <c r="B10" s="18">
        <f>(B6-B5)/B5</f>
        <v>4.4818042063365759E-2</v>
      </c>
    </row>
    <row r="11" spans="1:2" x14ac:dyDescent="0.35">
      <c r="A11" s="14" t="s">
        <v>124</v>
      </c>
      <c r="B11" s="18">
        <f>(B6-B4)/B4</f>
        <v>0.13455953878332008</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E740B3-5707-477F-9F50-90CC842E7FD8}">
  <dimension ref="A1:D39"/>
  <sheetViews>
    <sheetView zoomScale="75" workbookViewId="0">
      <selection activeCell="B9" sqref="B9"/>
    </sheetView>
  </sheetViews>
  <sheetFormatPr defaultRowHeight="14.5" x14ac:dyDescent="0.35"/>
  <cols>
    <col min="1" max="1" width="33.54296875" bestFit="1" customWidth="1"/>
    <col min="2" max="2" width="23.36328125" bestFit="1" customWidth="1"/>
    <col min="3" max="3" width="28.7265625" bestFit="1" customWidth="1"/>
    <col min="4" max="4" width="22.81640625" bestFit="1" customWidth="1"/>
    <col min="5" max="5" width="26.36328125" bestFit="1" customWidth="1"/>
    <col min="6" max="6" width="36.1796875" bestFit="1" customWidth="1"/>
    <col min="7" max="7" width="10.36328125" bestFit="1" customWidth="1"/>
  </cols>
  <sheetData>
    <row r="1" spans="1:4" x14ac:dyDescent="0.35">
      <c r="A1" s="13" t="s">
        <v>106</v>
      </c>
      <c r="B1" t="s">
        <v>109</v>
      </c>
    </row>
    <row r="3" spans="1:4" x14ac:dyDescent="0.35">
      <c r="A3" s="13" t="s">
        <v>91</v>
      </c>
      <c r="B3" t="s">
        <v>108</v>
      </c>
      <c r="C3" t="s">
        <v>110</v>
      </c>
      <c r="D3" t="s">
        <v>108</v>
      </c>
    </row>
    <row r="4" spans="1:4" x14ac:dyDescent="0.35">
      <c r="A4" s="14" t="s">
        <v>6</v>
      </c>
      <c r="B4" s="19">
        <v>1821</v>
      </c>
      <c r="C4" t="str">
        <f>A4</f>
        <v>Andaman and Nicobar</v>
      </c>
      <c r="D4">
        <f>B4</f>
        <v>1821</v>
      </c>
    </row>
    <row r="5" spans="1:4" x14ac:dyDescent="0.35">
      <c r="A5" s="14" t="s">
        <v>4</v>
      </c>
      <c r="B5" s="19">
        <v>53395</v>
      </c>
      <c r="C5" t="str">
        <f t="shared" ref="C5:C39" si="0">A5</f>
        <v>Andhra Pradesh</v>
      </c>
      <c r="D5">
        <f t="shared" ref="D5:D39" si="1">B5</f>
        <v>53395</v>
      </c>
    </row>
    <row r="6" spans="1:4" x14ac:dyDescent="0.35">
      <c r="A6" s="14" t="s">
        <v>8</v>
      </c>
      <c r="B6" s="19">
        <v>224</v>
      </c>
      <c r="C6" t="str">
        <f t="shared" si="0"/>
        <v>Arunachal Pradesh</v>
      </c>
      <c r="D6">
        <f t="shared" si="1"/>
        <v>224</v>
      </c>
    </row>
    <row r="7" spans="1:4" x14ac:dyDescent="0.35">
      <c r="A7" s="14" t="s">
        <v>10</v>
      </c>
      <c r="B7" s="19">
        <v>10062</v>
      </c>
      <c r="C7" t="str">
        <f t="shared" si="0"/>
        <v>Assam</v>
      </c>
      <c r="D7">
        <f t="shared" si="1"/>
        <v>10062</v>
      </c>
    </row>
    <row r="8" spans="1:4" x14ac:dyDescent="0.35">
      <c r="A8" s="14" t="s">
        <v>12</v>
      </c>
      <c r="B8" s="19">
        <v>78232</v>
      </c>
      <c r="C8" t="str">
        <f t="shared" si="0"/>
        <v>Bihar</v>
      </c>
      <c r="D8">
        <f t="shared" si="1"/>
        <v>78232</v>
      </c>
    </row>
    <row r="9" spans="1:4" x14ac:dyDescent="0.35">
      <c r="A9" s="14" t="s">
        <v>14</v>
      </c>
      <c r="B9" s="19">
        <v>7536</v>
      </c>
      <c r="C9" t="str">
        <f t="shared" si="0"/>
        <v>Chandigarh</v>
      </c>
      <c r="D9">
        <f t="shared" si="1"/>
        <v>7536</v>
      </c>
    </row>
    <row r="10" spans="1:4" x14ac:dyDescent="0.35">
      <c r="A10" s="14" t="s">
        <v>16</v>
      </c>
      <c r="B10" s="19">
        <v>56496</v>
      </c>
      <c r="C10" t="str">
        <f t="shared" si="0"/>
        <v>Chhattisgarh</v>
      </c>
      <c r="D10">
        <f t="shared" si="1"/>
        <v>56496</v>
      </c>
    </row>
    <row r="11" spans="1:4" x14ac:dyDescent="0.35">
      <c r="A11" s="14" t="s">
        <v>82</v>
      </c>
      <c r="B11" s="19">
        <v>1845</v>
      </c>
      <c r="C11" t="str">
        <f t="shared" si="0"/>
        <v>Daman &amp; Diu and Dadra &amp; Nagra Haveli</v>
      </c>
      <c r="D11">
        <f t="shared" si="1"/>
        <v>1845</v>
      </c>
    </row>
    <row r="12" spans="1:4" x14ac:dyDescent="0.35">
      <c r="A12" s="14" t="s">
        <v>20</v>
      </c>
      <c r="B12" s="19">
        <v>84768</v>
      </c>
      <c r="C12" t="str">
        <f t="shared" si="0"/>
        <v>Delhi</v>
      </c>
      <c r="D12">
        <f t="shared" si="1"/>
        <v>84768</v>
      </c>
    </row>
    <row r="13" spans="1:4" x14ac:dyDescent="0.35">
      <c r="A13" s="14" t="s">
        <v>22</v>
      </c>
      <c r="B13" s="19">
        <v>3387</v>
      </c>
      <c r="C13" t="str">
        <f t="shared" si="0"/>
        <v>Goa</v>
      </c>
      <c r="D13">
        <f t="shared" si="1"/>
        <v>3387</v>
      </c>
    </row>
    <row r="14" spans="1:4" x14ac:dyDescent="0.35">
      <c r="A14" s="14" t="s">
        <v>24</v>
      </c>
      <c r="B14" s="19">
        <v>72447</v>
      </c>
      <c r="C14" t="str">
        <f t="shared" si="0"/>
        <v>Gujarat</v>
      </c>
      <c r="D14">
        <f t="shared" si="1"/>
        <v>72447</v>
      </c>
    </row>
    <row r="15" spans="1:4" x14ac:dyDescent="0.35">
      <c r="A15" s="14" t="s">
        <v>26</v>
      </c>
      <c r="B15" s="19">
        <v>34122</v>
      </c>
      <c r="C15" t="str">
        <f t="shared" si="0"/>
        <v>Haryana</v>
      </c>
      <c r="D15">
        <f t="shared" si="1"/>
        <v>34122</v>
      </c>
    </row>
    <row r="16" spans="1:4" x14ac:dyDescent="0.35">
      <c r="A16" s="14" t="s">
        <v>28</v>
      </c>
      <c r="B16" s="19">
        <v>4967</v>
      </c>
      <c r="C16" t="str">
        <f t="shared" si="0"/>
        <v>Himachal Pradesh</v>
      </c>
      <c r="D16">
        <f t="shared" si="1"/>
        <v>4967</v>
      </c>
    </row>
    <row r="17" spans="1:4" x14ac:dyDescent="0.35">
      <c r="A17" s="14" t="s">
        <v>30</v>
      </c>
      <c r="B17" s="19">
        <v>10231</v>
      </c>
      <c r="C17" t="str">
        <f t="shared" si="0"/>
        <v>Jammu and Kashmir</v>
      </c>
      <c r="D17">
        <f t="shared" si="1"/>
        <v>10231</v>
      </c>
    </row>
    <row r="18" spans="1:4" x14ac:dyDescent="0.35">
      <c r="A18" s="14" t="s">
        <v>32</v>
      </c>
      <c r="B18" s="19">
        <v>28018</v>
      </c>
      <c r="C18" t="str">
        <f t="shared" si="0"/>
        <v>Jharkhand</v>
      </c>
      <c r="D18">
        <f t="shared" si="1"/>
        <v>28018</v>
      </c>
    </row>
    <row r="19" spans="1:4" x14ac:dyDescent="0.35">
      <c r="A19" s="14" t="s">
        <v>34</v>
      </c>
      <c r="B19" s="19">
        <v>109668</v>
      </c>
      <c r="C19" t="str">
        <f t="shared" si="0"/>
        <v>Karnataka</v>
      </c>
      <c r="D19">
        <f t="shared" si="1"/>
        <v>109668</v>
      </c>
    </row>
    <row r="20" spans="1:4" x14ac:dyDescent="0.35">
      <c r="A20" s="14" t="s">
        <v>36</v>
      </c>
      <c r="B20" s="19">
        <v>8547</v>
      </c>
      <c r="C20" t="str">
        <f t="shared" si="0"/>
        <v>Kerala</v>
      </c>
      <c r="D20">
        <f t="shared" si="1"/>
        <v>8547</v>
      </c>
    </row>
    <row r="21" spans="1:4" x14ac:dyDescent="0.35">
      <c r="A21" s="14" t="s">
        <v>78</v>
      </c>
      <c r="B21" s="19">
        <v>582</v>
      </c>
      <c r="C21" t="str">
        <f t="shared" si="0"/>
        <v>Ladakh</v>
      </c>
      <c r="D21">
        <f t="shared" si="1"/>
        <v>582</v>
      </c>
    </row>
    <row r="22" spans="1:4" x14ac:dyDescent="0.35">
      <c r="A22" s="14" t="s">
        <v>38</v>
      </c>
      <c r="B22" s="19">
        <v>79466</v>
      </c>
      <c r="C22" t="str">
        <f t="shared" si="0"/>
        <v>Madhya Pradesh</v>
      </c>
      <c r="D22">
        <f t="shared" si="1"/>
        <v>79466</v>
      </c>
    </row>
    <row r="23" spans="1:4" x14ac:dyDescent="0.35">
      <c r="A23" s="14" t="s">
        <v>40</v>
      </c>
      <c r="B23" s="19">
        <v>499395</v>
      </c>
      <c r="C23" t="str">
        <f t="shared" si="0"/>
        <v>Maharashtra</v>
      </c>
      <c r="D23">
        <f t="shared" si="1"/>
        <v>499395</v>
      </c>
    </row>
    <row r="24" spans="1:4" x14ac:dyDescent="0.35">
      <c r="A24" s="14" t="s">
        <v>42</v>
      </c>
      <c r="B24" s="19">
        <v>1674</v>
      </c>
      <c r="C24" t="str">
        <f t="shared" si="0"/>
        <v>Manipur</v>
      </c>
      <c r="D24">
        <f t="shared" si="1"/>
        <v>1674</v>
      </c>
    </row>
    <row r="25" spans="1:4" x14ac:dyDescent="0.35">
      <c r="A25" s="14" t="s">
        <v>44</v>
      </c>
      <c r="B25" s="19">
        <v>456</v>
      </c>
      <c r="C25" t="str">
        <f t="shared" si="0"/>
        <v>Meghalaya</v>
      </c>
      <c r="D25">
        <f t="shared" si="1"/>
        <v>456</v>
      </c>
    </row>
    <row r="26" spans="1:4" x14ac:dyDescent="0.35">
      <c r="A26" s="14" t="s">
        <v>46</v>
      </c>
      <c r="B26" s="19">
        <v>3229</v>
      </c>
      <c r="C26" t="str">
        <f t="shared" si="0"/>
        <v>Mizoram</v>
      </c>
      <c r="D26">
        <f t="shared" si="1"/>
        <v>3229</v>
      </c>
    </row>
    <row r="27" spans="1:4" x14ac:dyDescent="0.35">
      <c r="A27" s="14" t="s">
        <v>48</v>
      </c>
      <c r="B27" s="19">
        <v>711</v>
      </c>
      <c r="C27" t="str">
        <f t="shared" si="0"/>
        <v>Nagaland</v>
      </c>
      <c r="D27">
        <f t="shared" si="1"/>
        <v>711</v>
      </c>
    </row>
    <row r="28" spans="1:4" x14ac:dyDescent="0.35">
      <c r="A28" s="14" t="s">
        <v>50</v>
      </c>
      <c r="B28" s="19">
        <v>36421</v>
      </c>
      <c r="C28" t="str">
        <f t="shared" si="0"/>
        <v>Odisha</v>
      </c>
      <c r="D28">
        <f t="shared" si="1"/>
        <v>36421</v>
      </c>
    </row>
    <row r="29" spans="1:4" x14ac:dyDescent="0.35">
      <c r="A29" s="14" t="s">
        <v>52</v>
      </c>
      <c r="B29" s="19">
        <v>2508</v>
      </c>
      <c r="C29" t="str">
        <f t="shared" si="0"/>
        <v>Puducherry</v>
      </c>
      <c r="D29">
        <f t="shared" si="1"/>
        <v>2508</v>
      </c>
    </row>
    <row r="30" spans="1:4" x14ac:dyDescent="0.35">
      <c r="A30" s="14" t="s">
        <v>54</v>
      </c>
      <c r="B30" s="19">
        <v>34432</v>
      </c>
      <c r="C30" t="str">
        <f t="shared" si="0"/>
        <v>Punjab</v>
      </c>
      <c r="D30">
        <f t="shared" si="1"/>
        <v>34432</v>
      </c>
    </row>
    <row r="31" spans="1:4" x14ac:dyDescent="0.35">
      <c r="A31" s="14" t="s">
        <v>56</v>
      </c>
      <c r="B31" s="19">
        <v>93900</v>
      </c>
      <c r="C31" t="str">
        <f t="shared" si="0"/>
        <v>Rajasthan</v>
      </c>
      <c r="D31">
        <f t="shared" si="1"/>
        <v>93900</v>
      </c>
    </row>
    <row r="32" spans="1:4" x14ac:dyDescent="0.35">
      <c r="A32" s="14" t="s">
        <v>58</v>
      </c>
      <c r="B32" s="19">
        <v>699</v>
      </c>
      <c r="C32" t="str">
        <f t="shared" si="0"/>
        <v>Sikkim</v>
      </c>
      <c r="D32">
        <f t="shared" si="1"/>
        <v>699</v>
      </c>
    </row>
    <row r="33" spans="1:4" x14ac:dyDescent="0.35">
      <c r="A33" s="14" t="s">
        <v>60</v>
      </c>
      <c r="B33" s="19">
        <v>278232</v>
      </c>
      <c r="C33" t="str">
        <f t="shared" si="0"/>
        <v>Tamil Nadu</v>
      </c>
      <c r="D33">
        <f t="shared" si="1"/>
        <v>278232</v>
      </c>
    </row>
    <row r="34" spans="1:4" x14ac:dyDescent="0.35">
      <c r="A34" s="14" t="s">
        <v>62</v>
      </c>
      <c r="B34" s="19">
        <v>41139</v>
      </c>
      <c r="C34" t="str">
        <f t="shared" si="0"/>
        <v>Telangana</v>
      </c>
      <c r="D34">
        <f t="shared" si="1"/>
        <v>41139</v>
      </c>
    </row>
    <row r="35" spans="1:4" x14ac:dyDescent="0.35">
      <c r="A35" s="14" t="s">
        <v>64</v>
      </c>
      <c r="B35" s="19">
        <v>3251</v>
      </c>
      <c r="C35" t="str">
        <f t="shared" si="0"/>
        <v>Tripura</v>
      </c>
      <c r="D35">
        <f t="shared" si="1"/>
        <v>3251</v>
      </c>
    </row>
    <row r="36" spans="1:4" x14ac:dyDescent="0.35">
      <c r="A36" s="14" t="s">
        <v>66</v>
      </c>
      <c r="B36" s="19">
        <v>210032</v>
      </c>
      <c r="C36" t="str">
        <f t="shared" si="0"/>
        <v>Uttar Pradesh</v>
      </c>
      <c r="D36">
        <f t="shared" si="1"/>
        <v>210032</v>
      </c>
    </row>
    <row r="37" spans="1:4" x14ac:dyDescent="0.35">
      <c r="A37" s="14" t="s">
        <v>68</v>
      </c>
      <c r="B37" s="19">
        <v>14030</v>
      </c>
      <c r="C37" t="str">
        <f t="shared" si="0"/>
        <v>Uttarakhand</v>
      </c>
      <c r="D37">
        <f t="shared" si="1"/>
        <v>14030</v>
      </c>
    </row>
    <row r="38" spans="1:4" x14ac:dyDescent="0.35">
      <c r="A38" s="14" t="s">
        <v>70</v>
      </c>
      <c r="B38" s="19">
        <v>17238</v>
      </c>
      <c r="C38" t="str">
        <f t="shared" si="0"/>
        <v>West Bengal</v>
      </c>
      <c r="D38">
        <f t="shared" si="1"/>
        <v>17238</v>
      </c>
    </row>
    <row r="39" spans="1:4" x14ac:dyDescent="0.35">
      <c r="A39" s="14" t="s">
        <v>92</v>
      </c>
      <c r="B39" s="19">
        <v>1883161</v>
      </c>
      <c r="C39" t="str">
        <f t="shared" si="0"/>
        <v>Grand Total</v>
      </c>
      <c r="D39">
        <f t="shared" si="1"/>
        <v>1883161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F1EA0D-F836-40AA-8CCA-963C76E6C6BD}">
  <dimension ref="A3:D12"/>
  <sheetViews>
    <sheetView workbookViewId="0">
      <selection activeCell="B12" sqref="B12"/>
    </sheetView>
  </sheetViews>
  <sheetFormatPr defaultRowHeight="14.5" x14ac:dyDescent="0.35"/>
  <cols>
    <col min="1" max="1" width="12.453125" bestFit="1" customWidth="1"/>
    <col min="2" max="2" width="22.6328125" bestFit="1" customWidth="1"/>
    <col min="3" max="3" width="32.453125" bestFit="1" customWidth="1"/>
    <col min="4" max="4" width="9.7265625" bestFit="1" customWidth="1"/>
  </cols>
  <sheetData>
    <row r="3" spans="1:4" x14ac:dyDescent="0.35">
      <c r="A3" s="13" t="s">
        <v>91</v>
      </c>
      <c r="B3" t="s">
        <v>108</v>
      </c>
      <c r="C3" t="s">
        <v>120</v>
      </c>
      <c r="D3" t="s">
        <v>119</v>
      </c>
    </row>
    <row r="4" spans="1:4" x14ac:dyDescent="0.35">
      <c r="A4" s="14" t="s">
        <v>117</v>
      </c>
      <c r="B4">
        <v>345994</v>
      </c>
      <c r="C4" t="str">
        <f>A4</f>
        <v>Central</v>
      </c>
      <c r="D4">
        <f>B4</f>
        <v>345994</v>
      </c>
    </row>
    <row r="5" spans="1:4" x14ac:dyDescent="0.35">
      <c r="A5" s="14" t="s">
        <v>115</v>
      </c>
      <c r="B5">
        <v>159909</v>
      </c>
      <c r="C5" t="str">
        <f t="shared" ref="C5:C12" si="0">A5</f>
        <v>East</v>
      </c>
      <c r="D5">
        <f t="shared" ref="D5:D12" si="1">B5</f>
        <v>159909</v>
      </c>
    </row>
    <row r="6" spans="1:4" x14ac:dyDescent="0.35">
      <c r="A6" s="14" t="s">
        <v>116</v>
      </c>
      <c r="B6">
        <v>284568</v>
      </c>
      <c r="C6" t="str">
        <f t="shared" si="0"/>
        <v>North</v>
      </c>
      <c r="D6">
        <f t="shared" si="1"/>
        <v>284568</v>
      </c>
    </row>
    <row r="7" spans="1:4" x14ac:dyDescent="0.35">
      <c r="A7" s="14" t="s">
        <v>114</v>
      </c>
      <c r="B7">
        <v>20306</v>
      </c>
      <c r="C7" t="str">
        <f t="shared" si="0"/>
        <v>North-East</v>
      </c>
      <c r="D7">
        <f t="shared" si="1"/>
        <v>20306</v>
      </c>
    </row>
    <row r="8" spans="1:4" x14ac:dyDescent="0.35">
      <c r="A8" s="14" t="s">
        <v>113</v>
      </c>
      <c r="B8">
        <v>3666</v>
      </c>
      <c r="C8" t="str">
        <f t="shared" si="0"/>
        <v>Others</v>
      </c>
      <c r="D8">
        <f t="shared" si="1"/>
        <v>3666</v>
      </c>
    </row>
    <row r="9" spans="1:4" x14ac:dyDescent="0.35">
      <c r="A9" s="14" t="s">
        <v>112</v>
      </c>
      <c r="B9">
        <v>493489</v>
      </c>
      <c r="C9" t="str">
        <f t="shared" si="0"/>
        <v>South</v>
      </c>
      <c r="D9">
        <f t="shared" si="1"/>
        <v>493489</v>
      </c>
    </row>
    <row r="10" spans="1:4" x14ac:dyDescent="0.35">
      <c r="A10" s="14" t="s">
        <v>118</v>
      </c>
      <c r="B10">
        <v>575229</v>
      </c>
      <c r="C10" t="str">
        <f t="shared" si="0"/>
        <v>West</v>
      </c>
      <c r="D10">
        <f t="shared" si="1"/>
        <v>575229</v>
      </c>
    </row>
    <row r="11" spans="1:4" x14ac:dyDescent="0.35">
      <c r="A11" s="14" t="s">
        <v>93</v>
      </c>
      <c r="C11" t="str">
        <f t="shared" si="0"/>
        <v>(blank)</v>
      </c>
      <c r="D11">
        <f t="shared" si="1"/>
        <v>0</v>
      </c>
    </row>
    <row r="12" spans="1:4" x14ac:dyDescent="0.35">
      <c r="A12" s="14" t="s">
        <v>92</v>
      </c>
      <c r="B12">
        <v>1883161</v>
      </c>
      <c r="C12" t="str">
        <f t="shared" si="0"/>
        <v>Grand Total</v>
      </c>
      <c r="D12">
        <f t="shared" si="1"/>
        <v>1883161</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5E302E-71A5-41D0-8B87-B9C5FB0A65EE}">
  <dimension ref="A1:E176"/>
  <sheetViews>
    <sheetView zoomScale="83" workbookViewId="0">
      <selection activeCell="C22" sqref="C22"/>
    </sheetView>
  </sheetViews>
  <sheetFormatPr defaultRowHeight="14.5" x14ac:dyDescent="0.35"/>
  <cols>
    <col min="1" max="1" width="8.1796875" bestFit="1" customWidth="1"/>
    <col min="2" max="2" width="32.453125" bestFit="1" customWidth="1"/>
    <col min="3" max="3" width="35.36328125" bestFit="1" customWidth="1"/>
    <col min="4" max="4" width="18.90625" bestFit="1" customWidth="1"/>
    <col min="5" max="5" width="9.54296875" bestFit="1" customWidth="1"/>
  </cols>
  <sheetData>
    <row r="1" spans="1:5" x14ac:dyDescent="0.35">
      <c r="A1" t="s">
        <v>0</v>
      </c>
      <c r="B1" t="s">
        <v>1</v>
      </c>
      <c r="C1" t="s">
        <v>106</v>
      </c>
      <c r="D1" t="s">
        <v>107</v>
      </c>
      <c r="E1" t="s">
        <v>111</v>
      </c>
    </row>
    <row r="2" spans="1:5" x14ac:dyDescent="0.35">
      <c r="A2">
        <v>1</v>
      </c>
      <c r="B2" t="s">
        <v>4</v>
      </c>
      <c r="C2" t="s">
        <v>86</v>
      </c>
      <c r="D2">
        <v>17757</v>
      </c>
      <c r="E2" t="s">
        <v>112</v>
      </c>
    </row>
    <row r="3" spans="1:5" x14ac:dyDescent="0.35">
      <c r="A3">
        <v>1</v>
      </c>
      <c r="B3" t="s">
        <v>4</v>
      </c>
      <c r="C3" t="s">
        <v>87</v>
      </c>
      <c r="D3">
        <v>40</v>
      </c>
      <c r="E3" t="s">
        <v>112</v>
      </c>
    </row>
    <row r="4" spans="1:5" x14ac:dyDescent="0.35">
      <c r="A4">
        <v>1</v>
      </c>
      <c r="B4" t="s">
        <v>4</v>
      </c>
      <c r="C4" t="s">
        <v>88</v>
      </c>
      <c r="D4">
        <v>17797</v>
      </c>
      <c r="E4" t="s">
        <v>112</v>
      </c>
    </row>
    <row r="5" spans="1:5" x14ac:dyDescent="0.35">
      <c r="A5">
        <v>1</v>
      </c>
      <c r="B5" t="s">
        <v>4</v>
      </c>
      <c r="C5" t="s">
        <v>89</v>
      </c>
      <c r="D5">
        <v>2</v>
      </c>
      <c r="E5" t="s">
        <v>112</v>
      </c>
    </row>
    <row r="6" spans="1:5" x14ac:dyDescent="0.35">
      <c r="A6">
        <v>1</v>
      </c>
      <c r="B6" t="s">
        <v>4</v>
      </c>
      <c r="C6" t="s">
        <v>90</v>
      </c>
      <c r="D6">
        <v>17799</v>
      </c>
      <c r="E6" t="s">
        <v>112</v>
      </c>
    </row>
    <row r="7" spans="1:5" x14ac:dyDescent="0.35">
      <c r="A7">
        <v>2</v>
      </c>
      <c r="B7" t="s">
        <v>6</v>
      </c>
      <c r="C7" t="s">
        <v>86</v>
      </c>
      <c r="D7">
        <v>603</v>
      </c>
      <c r="E7" t="s">
        <v>113</v>
      </c>
    </row>
    <row r="8" spans="1:5" x14ac:dyDescent="0.35">
      <c r="A8">
        <v>2</v>
      </c>
      <c r="B8" t="s">
        <v>6</v>
      </c>
      <c r="C8" t="s">
        <v>87</v>
      </c>
      <c r="D8">
        <v>0</v>
      </c>
      <c r="E8" t="s">
        <v>113</v>
      </c>
    </row>
    <row r="9" spans="1:5" x14ac:dyDescent="0.35">
      <c r="A9">
        <v>2</v>
      </c>
      <c r="B9" t="s">
        <v>6</v>
      </c>
      <c r="C9" t="s">
        <v>88</v>
      </c>
      <c r="D9">
        <v>603</v>
      </c>
      <c r="E9" t="s">
        <v>113</v>
      </c>
    </row>
    <row r="10" spans="1:5" x14ac:dyDescent="0.35">
      <c r="A10">
        <v>2</v>
      </c>
      <c r="B10" t="s">
        <v>6</v>
      </c>
      <c r="C10" t="s">
        <v>89</v>
      </c>
      <c r="D10">
        <v>6</v>
      </c>
      <c r="E10" t="s">
        <v>113</v>
      </c>
    </row>
    <row r="11" spans="1:5" x14ac:dyDescent="0.35">
      <c r="A11">
        <v>2</v>
      </c>
      <c r="B11" t="s">
        <v>6</v>
      </c>
      <c r="C11" t="s">
        <v>90</v>
      </c>
      <c r="D11">
        <v>609</v>
      </c>
      <c r="E11" t="s">
        <v>113</v>
      </c>
    </row>
    <row r="12" spans="1:5" x14ac:dyDescent="0.35">
      <c r="A12">
        <v>3</v>
      </c>
      <c r="B12" t="s">
        <v>8</v>
      </c>
      <c r="C12" t="s">
        <v>86</v>
      </c>
      <c r="D12">
        <v>46</v>
      </c>
      <c r="E12" t="s">
        <v>114</v>
      </c>
    </row>
    <row r="13" spans="1:5" x14ac:dyDescent="0.35">
      <c r="A13">
        <v>3</v>
      </c>
      <c r="B13" t="s">
        <v>8</v>
      </c>
      <c r="C13" t="s">
        <v>87</v>
      </c>
      <c r="D13">
        <v>0</v>
      </c>
      <c r="E13" t="s">
        <v>114</v>
      </c>
    </row>
    <row r="14" spans="1:5" x14ac:dyDescent="0.35">
      <c r="A14">
        <v>3</v>
      </c>
      <c r="B14" t="s">
        <v>8</v>
      </c>
      <c r="C14" t="s">
        <v>88</v>
      </c>
      <c r="D14">
        <v>46</v>
      </c>
      <c r="E14" t="s">
        <v>114</v>
      </c>
    </row>
    <row r="15" spans="1:5" x14ac:dyDescent="0.35">
      <c r="A15">
        <v>3</v>
      </c>
      <c r="B15" t="s">
        <v>8</v>
      </c>
      <c r="C15" t="s">
        <v>89</v>
      </c>
      <c r="D15">
        <v>43</v>
      </c>
      <c r="E15" t="s">
        <v>114</v>
      </c>
    </row>
    <row r="16" spans="1:5" x14ac:dyDescent="0.35">
      <c r="A16">
        <v>3</v>
      </c>
      <c r="B16" t="s">
        <v>8</v>
      </c>
      <c r="C16" t="s">
        <v>90</v>
      </c>
      <c r="D16">
        <v>89</v>
      </c>
      <c r="E16" t="s">
        <v>114</v>
      </c>
    </row>
    <row r="17" spans="1:5" x14ac:dyDescent="0.35">
      <c r="A17">
        <v>4</v>
      </c>
      <c r="B17" t="s">
        <v>10</v>
      </c>
      <c r="C17" t="s">
        <v>86</v>
      </c>
      <c r="D17">
        <v>3286</v>
      </c>
      <c r="E17" t="s">
        <v>114</v>
      </c>
    </row>
    <row r="18" spans="1:5" x14ac:dyDescent="0.35">
      <c r="A18">
        <v>4</v>
      </c>
      <c r="B18" t="s">
        <v>10</v>
      </c>
      <c r="C18" t="s">
        <v>87</v>
      </c>
      <c r="D18">
        <v>64</v>
      </c>
      <c r="E18" t="s">
        <v>114</v>
      </c>
    </row>
    <row r="19" spans="1:5" x14ac:dyDescent="0.35">
      <c r="A19">
        <v>4</v>
      </c>
      <c r="B19" t="s">
        <v>10</v>
      </c>
      <c r="C19" t="s">
        <v>88</v>
      </c>
      <c r="D19">
        <v>3350</v>
      </c>
      <c r="E19" t="s">
        <v>114</v>
      </c>
    </row>
    <row r="20" spans="1:5" x14ac:dyDescent="0.35">
      <c r="A20">
        <v>4</v>
      </c>
      <c r="B20" t="s">
        <v>10</v>
      </c>
      <c r="C20" t="s">
        <v>89</v>
      </c>
      <c r="D20">
        <v>6</v>
      </c>
      <c r="E20" t="s">
        <v>114</v>
      </c>
    </row>
    <row r="21" spans="1:5" x14ac:dyDescent="0.35">
      <c r="A21">
        <v>4</v>
      </c>
      <c r="B21" t="s">
        <v>10</v>
      </c>
      <c r="C21" t="s">
        <v>90</v>
      </c>
      <c r="D21">
        <v>3356</v>
      </c>
      <c r="E21" t="s">
        <v>114</v>
      </c>
    </row>
    <row r="22" spans="1:5" x14ac:dyDescent="0.35">
      <c r="A22">
        <v>5</v>
      </c>
      <c r="B22" t="s">
        <v>12</v>
      </c>
      <c r="C22" t="s">
        <v>86</v>
      </c>
      <c r="D22">
        <v>16124</v>
      </c>
      <c r="E22" t="s">
        <v>115</v>
      </c>
    </row>
    <row r="23" spans="1:5" x14ac:dyDescent="0.35">
      <c r="A23">
        <v>5</v>
      </c>
      <c r="B23" t="s">
        <v>12</v>
      </c>
      <c r="C23" t="s">
        <v>87</v>
      </c>
      <c r="D23">
        <v>4754</v>
      </c>
      <c r="E23" t="s">
        <v>115</v>
      </c>
    </row>
    <row r="24" spans="1:5" x14ac:dyDescent="0.35">
      <c r="A24">
        <v>5</v>
      </c>
      <c r="B24" t="s">
        <v>12</v>
      </c>
      <c r="C24" t="s">
        <v>88</v>
      </c>
      <c r="D24">
        <v>20878</v>
      </c>
      <c r="E24" t="s">
        <v>115</v>
      </c>
    </row>
    <row r="25" spans="1:5" x14ac:dyDescent="0.35">
      <c r="A25">
        <v>5</v>
      </c>
      <c r="B25" t="s">
        <v>12</v>
      </c>
      <c r="C25" t="s">
        <v>89</v>
      </c>
      <c r="D25">
        <v>7799</v>
      </c>
      <c r="E25" t="s">
        <v>115</v>
      </c>
    </row>
    <row r="26" spans="1:5" x14ac:dyDescent="0.35">
      <c r="A26">
        <v>5</v>
      </c>
      <c r="B26" t="s">
        <v>12</v>
      </c>
      <c r="C26" t="s">
        <v>90</v>
      </c>
      <c r="D26">
        <v>28677</v>
      </c>
      <c r="E26" t="s">
        <v>115</v>
      </c>
    </row>
    <row r="27" spans="1:5" x14ac:dyDescent="0.35">
      <c r="A27">
        <v>6</v>
      </c>
      <c r="B27" t="s">
        <v>14</v>
      </c>
      <c r="C27" t="s">
        <v>86</v>
      </c>
      <c r="D27">
        <v>2512</v>
      </c>
      <c r="E27" t="s">
        <v>116</v>
      </c>
    </row>
    <row r="28" spans="1:5" x14ac:dyDescent="0.35">
      <c r="A28">
        <v>6</v>
      </c>
      <c r="B28" t="s">
        <v>14</v>
      </c>
      <c r="C28" t="s">
        <v>87</v>
      </c>
      <c r="D28">
        <v>0</v>
      </c>
      <c r="E28" t="s">
        <v>116</v>
      </c>
    </row>
    <row r="29" spans="1:5" x14ac:dyDescent="0.35">
      <c r="A29">
        <v>6</v>
      </c>
      <c r="B29" t="s">
        <v>14</v>
      </c>
      <c r="C29" t="s">
        <v>88</v>
      </c>
      <c r="D29">
        <v>2512</v>
      </c>
      <c r="E29" t="s">
        <v>116</v>
      </c>
    </row>
    <row r="30" spans="1:5" x14ac:dyDescent="0.35">
      <c r="A30">
        <v>6</v>
      </c>
      <c r="B30" t="s">
        <v>14</v>
      </c>
      <c r="C30" t="s">
        <v>89</v>
      </c>
      <c r="D30">
        <v>0</v>
      </c>
      <c r="E30" t="s">
        <v>116</v>
      </c>
    </row>
    <row r="31" spans="1:5" x14ac:dyDescent="0.35">
      <c r="A31">
        <v>6</v>
      </c>
      <c r="B31" t="s">
        <v>14</v>
      </c>
      <c r="C31" t="s">
        <v>90</v>
      </c>
      <c r="D31">
        <v>2512</v>
      </c>
      <c r="E31" t="s">
        <v>116</v>
      </c>
    </row>
    <row r="32" spans="1:5" x14ac:dyDescent="0.35">
      <c r="A32">
        <v>7</v>
      </c>
      <c r="B32" t="s">
        <v>16</v>
      </c>
      <c r="C32" t="s">
        <v>86</v>
      </c>
      <c r="D32">
        <v>18832</v>
      </c>
      <c r="E32" t="s">
        <v>117</v>
      </c>
    </row>
    <row r="33" spans="1:5" x14ac:dyDescent="0.35">
      <c r="A33">
        <v>7</v>
      </c>
      <c r="B33" t="s">
        <v>16</v>
      </c>
      <c r="C33" t="s">
        <v>87</v>
      </c>
      <c r="D33">
        <v>0</v>
      </c>
      <c r="E33" t="s">
        <v>117</v>
      </c>
    </row>
    <row r="34" spans="1:5" x14ac:dyDescent="0.35">
      <c r="A34">
        <v>7</v>
      </c>
      <c r="B34" t="s">
        <v>16</v>
      </c>
      <c r="C34" t="s">
        <v>88</v>
      </c>
      <c r="D34">
        <v>18832</v>
      </c>
      <c r="E34" t="s">
        <v>117</v>
      </c>
    </row>
    <row r="35" spans="1:5" x14ac:dyDescent="0.35">
      <c r="A35">
        <v>7</v>
      </c>
      <c r="B35" t="s">
        <v>16</v>
      </c>
      <c r="C35" t="s">
        <v>89</v>
      </c>
      <c r="D35">
        <v>0</v>
      </c>
      <c r="E35" t="s">
        <v>117</v>
      </c>
    </row>
    <row r="36" spans="1:5" x14ac:dyDescent="0.35">
      <c r="A36">
        <v>7</v>
      </c>
      <c r="B36" t="s">
        <v>16</v>
      </c>
      <c r="C36" t="s">
        <v>90</v>
      </c>
      <c r="D36">
        <v>18832</v>
      </c>
      <c r="E36" t="s">
        <v>117</v>
      </c>
    </row>
    <row r="37" spans="1:5" x14ac:dyDescent="0.35">
      <c r="A37">
        <v>8</v>
      </c>
      <c r="B37" t="s">
        <v>82</v>
      </c>
      <c r="C37" t="s">
        <v>86</v>
      </c>
      <c r="D37">
        <v>615</v>
      </c>
      <c r="E37" t="s">
        <v>113</v>
      </c>
    </row>
    <row r="38" spans="1:5" x14ac:dyDescent="0.35">
      <c r="A38">
        <v>8</v>
      </c>
      <c r="B38" t="s">
        <v>82</v>
      </c>
      <c r="C38" t="s">
        <v>87</v>
      </c>
      <c r="D38">
        <v>0</v>
      </c>
      <c r="E38" t="s">
        <v>113</v>
      </c>
    </row>
    <row r="39" spans="1:5" x14ac:dyDescent="0.35">
      <c r="A39">
        <v>8</v>
      </c>
      <c r="B39" t="s">
        <v>82</v>
      </c>
      <c r="C39" t="s">
        <v>88</v>
      </c>
      <c r="D39">
        <v>615</v>
      </c>
      <c r="E39" t="s">
        <v>113</v>
      </c>
    </row>
    <row r="40" spans="1:5" x14ac:dyDescent="0.35">
      <c r="A40">
        <v>8</v>
      </c>
      <c r="B40" t="s">
        <v>82</v>
      </c>
      <c r="C40" t="s">
        <v>89</v>
      </c>
      <c r="D40">
        <v>0</v>
      </c>
      <c r="E40" t="s">
        <v>113</v>
      </c>
    </row>
    <row r="41" spans="1:5" x14ac:dyDescent="0.35">
      <c r="A41">
        <v>8</v>
      </c>
      <c r="B41" t="s">
        <v>82</v>
      </c>
      <c r="C41" t="s">
        <v>90</v>
      </c>
      <c r="D41">
        <v>615</v>
      </c>
      <c r="E41" t="s">
        <v>113</v>
      </c>
    </row>
    <row r="42" spans="1:5" x14ac:dyDescent="0.35">
      <c r="A42">
        <v>9</v>
      </c>
      <c r="B42" t="s">
        <v>20</v>
      </c>
      <c r="C42" t="s">
        <v>86</v>
      </c>
      <c r="D42">
        <v>24186</v>
      </c>
      <c r="E42" t="s">
        <v>116</v>
      </c>
    </row>
    <row r="43" spans="1:5" x14ac:dyDescent="0.35">
      <c r="A43">
        <v>9</v>
      </c>
      <c r="B43" t="s">
        <v>20</v>
      </c>
      <c r="C43" t="s">
        <v>87</v>
      </c>
      <c r="D43">
        <v>4070</v>
      </c>
      <c r="E43" t="s">
        <v>116</v>
      </c>
    </row>
    <row r="44" spans="1:5" x14ac:dyDescent="0.35">
      <c r="A44">
        <v>9</v>
      </c>
      <c r="B44" t="s">
        <v>20</v>
      </c>
      <c r="C44" t="s">
        <v>88</v>
      </c>
      <c r="D44">
        <v>28256</v>
      </c>
      <c r="E44" t="s">
        <v>116</v>
      </c>
    </row>
    <row r="45" spans="1:5" x14ac:dyDescent="0.35">
      <c r="A45">
        <v>9</v>
      </c>
      <c r="B45" t="s">
        <v>20</v>
      </c>
      <c r="C45" t="s">
        <v>89</v>
      </c>
      <c r="D45">
        <v>0</v>
      </c>
      <c r="E45" t="s">
        <v>116</v>
      </c>
    </row>
    <row r="46" spans="1:5" x14ac:dyDescent="0.35">
      <c r="A46">
        <v>9</v>
      </c>
      <c r="B46" t="s">
        <v>20</v>
      </c>
      <c r="C46" t="s">
        <v>90</v>
      </c>
      <c r="D46">
        <v>28256</v>
      </c>
      <c r="E46" t="s">
        <v>116</v>
      </c>
    </row>
    <row r="47" spans="1:5" x14ac:dyDescent="0.35">
      <c r="A47">
        <v>10</v>
      </c>
      <c r="B47" t="s">
        <v>22</v>
      </c>
      <c r="C47" t="s">
        <v>86</v>
      </c>
      <c r="D47">
        <v>577</v>
      </c>
      <c r="E47" t="s">
        <v>118</v>
      </c>
    </row>
    <row r="48" spans="1:5" x14ac:dyDescent="0.35">
      <c r="A48">
        <v>10</v>
      </c>
      <c r="B48" t="s">
        <v>22</v>
      </c>
      <c r="C48" t="s">
        <v>87</v>
      </c>
      <c r="D48">
        <v>270</v>
      </c>
      <c r="E48" t="s">
        <v>118</v>
      </c>
    </row>
    <row r="49" spans="1:5" x14ac:dyDescent="0.35">
      <c r="A49">
        <v>10</v>
      </c>
      <c r="B49" t="s">
        <v>22</v>
      </c>
      <c r="C49" t="s">
        <v>88</v>
      </c>
      <c r="D49">
        <v>847</v>
      </c>
      <c r="E49" t="s">
        <v>118</v>
      </c>
    </row>
    <row r="50" spans="1:5" x14ac:dyDescent="0.35">
      <c r="A50">
        <v>10</v>
      </c>
      <c r="B50" t="s">
        <v>22</v>
      </c>
      <c r="C50" t="s">
        <v>89</v>
      </c>
      <c r="D50">
        <v>423</v>
      </c>
      <c r="E50" t="s">
        <v>118</v>
      </c>
    </row>
    <row r="51" spans="1:5" x14ac:dyDescent="0.35">
      <c r="A51">
        <v>10</v>
      </c>
      <c r="B51" t="s">
        <v>22</v>
      </c>
      <c r="C51" t="s">
        <v>90</v>
      </c>
      <c r="D51">
        <v>1270</v>
      </c>
      <c r="E51" t="s">
        <v>118</v>
      </c>
    </row>
    <row r="52" spans="1:5" x14ac:dyDescent="0.35">
      <c r="A52">
        <v>11</v>
      </c>
      <c r="B52" t="s">
        <v>24</v>
      </c>
      <c r="C52" t="s">
        <v>86</v>
      </c>
      <c r="D52">
        <v>24149</v>
      </c>
      <c r="E52" t="s">
        <v>118</v>
      </c>
    </row>
    <row r="53" spans="1:5" x14ac:dyDescent="0.35">
      <c r="A53">
        <v>11</v>
      </c>
      <c r="B53" t="s">
        <v>24</v>
      </c>
      <c r="C53" t="s">
        <v>87</v>
      </c>
      <c r="D53">
        <v>0</v>
      </c>
      <c r="E53" t="s">
        <v>118</v>
      </c>
    </row>
    <row r="54" spans="1:5" x14ac:dyDescent="0.35">
      <c r="A54">
        <v>11</v>
      </c>
      <c r="B54" t="s">
        <v>24</v>
      </c>
      <c r="C54" t="s">
        <v>88</v>
      </c>
      <c r="D54">
        <v>24149</v>
      </c>
      <c r="E54" t="s">
        <v>118</v>
      </c>
    </row>
    <row r="55" spans="1:5" x14ac:dyDescent="0.35">
      <c r="A55">
        <v>11</v>
      </c>
      <c r="B55" t="s">
        <v>24</v>
      </c>
      <c r="C55" t="s">
        <v>89</v>
      </c>
      <c r="D55">
        <v>0</v>
      </c>
      <c r="E55" t="s">
        <v>118</v>
      </c>
    </row>
    <row r="56" spans="1:5" x14ac:dyDescent="0.35">
      <c r="A56">
        <v>11</v>
      </c>
      <c r="B56" t="s">
        <v>24</v>
      </c>
      <c r="C56" t="s">
        <v>90</v>
      </c>
      <c r="D56">
        <v>24149</v>
      </c>
      <c r="E56" t="s">
        <v>118</v>
      </c>
    </row>
    <row r="57" spans="1:5" x14ac:dyDescent="0.35">
      <c r="A57">
        <v>12</v>
      </c>
      <c r="B57" t="s">
        <v>26</v>
      </c>
      <c r="C57" t="s">
        <v>86</v>
      </c>
      <c r="D57">
        <v>10819</v>
      </c>
      <c r="E57" t="s">
        <v>116</v>
      </c>
    </row>
    <row r="58" spans="1:5" x14ac:dyDescent="0.35">
      <c r="A58">
        <v>12</v>
      </c>
      <c r="B58" t="s">
        <v>26</v>
      </c>
      <c r="C58" t="s">
        <v>87</v>
      </c>
      <c r="D58">
        <v>555</v>
      </c>
      <c r="E58" t="s">
        <v>116</v>
      </c>
    </row>
    <row r="59" spans="1:5" x14ac:dyDescent="0.35">
      <c r="A59">
        <v>12</v>
      </c>
      <c r="B59" t="s">
        <v>26</v>
      </c>
      <c r="C59" t="s">
        <v>88</v>
      </c>
      <c r="D59">
        <v>11374</v>
      </c>
      <c r="E59" t="s">
        <v>116</v>
      </c>
    </row>
    <row r="60" spans="1:5" x14ac:dyDescent="0.35">
      <c r="A60">
        <v>12</v>
      </c>
      <c r="B60" t="s">
        <v>26</v>
      </c>
      <c r="C60" t="s">
        <v>89</v>
      </c>
      <c r="D60">
        <v>0</v>
      </c>
      <c r="E60" t="s">
        <v>116</v>
      </c>
    </row>
    <row r="61" spans="1:5" x14ac:dyDescent="0.35">
      <c r="A61">
        <v>12</v>
      </c>
      <c r="B61" t="s">
        <v>26</v>
      </c>
      <c r="C61" t="s">
        <v>90</v>
      </c>
      <c r="D61">
        <v>11374</v>
      </c>
      <c r="E61" t="s">
        <v>116</v>
      </c>
    </row>
    <row r="62" spans="1:5" x14ac:dyDescent="0.35">
      <c r="A62">
        <v>13</v>
      </c>
      <c r="B62" t="s">
        <v>28</v>
      </c>
      <c r="C62" t="s">
        <v>86</v>
      </c>
      <c r="D62">
        <v>1445</v>
      </c>
      <c r="E62" t="s">
        <v>116</v>
      </c>
    </row>
    <row r="63" spans="1:5" x14ac:dyDescent="0.35">
      <c r="A63">
        <v>13</v>
      </c>
      <c r="B63" t="s">
        <v>28</v>
      </c>
      <c r="C63" t="s">
        <v>87</v>
      </c>
      <c r="D63">
        <v>122</v>
      </c>
      <c r="E63" t="s">
        <v>116</v>
      </c>
    </row>
    <row r="64" spans="1:5" x14ac:dyDescent="0.35">
      <c r="A64">
        <v>13</v>
      </c>
      <c r="B64" t="s">
        <v>28</v>
      </c>
      <c r="C64" t="s">
        <v>88</v>
      </c>
      <c r="D64">
        <v>1567</v>
      </c>
      <c r="E64" t="s">
        <v>116</v>
      </c>
    </row>
    <row r="65" spans="1:5" x14ac:dyDescent="0.35">
      <c r="A65">
        <v>13</v>
      </c>
      <c r="B65" t="s">
        <v>28</v>
      </c>
      <c r="C65" t="s">
        <v>89</v>
      </c>
      <c r="D65">
        <v>133</v>
      </c>
      <c r="E65" t="s">
        <v>116</v>
      </c>
    </row>
    <row r="66" spans="1:5" x14ac:dyDescent="0.35">
      <c r="A66">
        <v>13</v>
      </c>
      <c r="B66" t="s">
        <v>28</v>
      </c>
      <c r="C66" t="s">
        <v>90</v>
      </c>
      <c r="D66">
        <v>1700</v>
      </c>
      <c r="E66" t="s">
        <v>116</v>
      </c>
    </row>
    <row r="67" spans="1:5" x14ac:dyDescent="0.35">
      <c r="A67">
        <v>14</v>
      </c>
      <c r="B67" t="s">
        <v>30</v>
      </c>
      <c r="C67" t="s">
        <v>86</v>
      </c>
      <c r="D67">
        <v>2384</v>
      </c>
      <c r="E67" t="s">
        <v>116</v>
      </c>
    </row>
    <row r="68" spans="1:5" x14ac:dyDescent="0.35">
      <c r="A68">
        <v>14</v>
      </c>
      <c r="B68" t="s">
        <v>30</v>
      </c>
      <c r="C68" t="s">
        <v>87</v>
      </c>
      <c r="D68">
        <v>945</v>
      </c>
      <c r="E68" t="s">
        <v>116</v>
      </c>
    </row>
    <row r="69" spans="1:5" x14ac:dyDescent="0.35">
      <c r="A69">
        <v>14</v>
      </c>
      <c r="B69" t="s">
        <v>30</v>
      </c>
      <c r="C69" t="s">
        <v>88</v>
      </c>
      <c r="D69">
        <v>3329</v>
      </c>
      <c r="E69" t="s">
        <v>116</v>
      </c>
    </row>
    <row r="70" spans="1:5" x14ac:dyDescent="0.35">
      <c r="A70">
        <v>14</v>
      </c>
      <c r="B70" t="s">
        <v>30</v>
      </c>
      <c r="C70" t="s">
        <v>89</v>
      </c>
      <c r="D70">
        <v>122</v>
      </c>
      <c r="E70" t="s">
        <v>116</v>
      </c>
    </row>
    <row r="71" spans="1:5" x14ac:dyDescent="0.35">
      <c r="A71">
        <v>14</v>
      </c>
      <c r="B71" t="s">
        <v>30</v>
      </c>
      <c r="C71" t="s">
        <v>90</v>
      </c>
      <c r="D71">
        <v>3451</v>
      </c>
      <c r="E71" t="s">
        <v>116</v>
      </c>
    </row>
    <row r="72" spans="1:5" x14ac:dyDescent="0.35">
      <c r="A72">
        <v>15</v>
      </c>
      <c r="B72" t="s">
        <v>32</v>
      </c>
      <c r="C72" t="s">
        <v>86</v>
      </c>
      <c r="D72">
        <v>7551</v>
      </c>
      <c r="E72" t="s">
        <v>115</v>
      </c>
    </row>
    <row r="73" spans="1:5" x14ac:dyDescent="0.35">
      <c r="A73">
        <v>15</v>
      </c>
      <c r="B73" t="s">
        <v>32</v>
      </c>
      <c r="C73" t="s">
        <v>87</v>
      </c>
      <c r="D73">
        <v>1181</v>
      </c>
      <c r="E73" t="s">
        <v>115</v>
      </c>
    </row>
    <row r="74" spans="1:5" x14ac:dyDescent="0.35">
      <c r="A74">
        <v>15</v>
      </c>
      <c r="B74" t="s">
        <v>32</v>
      </c>
      <c r="C74" t="s">
        <v>88</v>
      </c>
      <c r="D74">
        <v>8732</v>
      </c>
      <c r="E74" t="s">
        <v>115</v>
      </c>
    </row>
    <row r="75" spans="1:5" x14ac:dyDescent="0.35">
      <c r="A75">
        <v>15</v>
      </c>
      <c r="B75" t="s">
        <v>32</v>
      </c>
      <c r="C75" t="s">
        <v>89</v>
      </c>
      <c r="D75">
        <v>911</v>
      </c>
      <c r="E75" t="s">
        <v>115</v>
      </c>
    </row>
    <row r="76" spans="1:5" x14ac:dyDescent="0.35">
      <c r="A76">
        <v>15</v>
      </c>
      <c r="B76" t="s">
        <v>32</v>
      </c>
      <c r="C76" t="s">
        <v>90</v>
      </c>
      <c r="D76">
        <v>9643</v>
      </c>
      <c r="E76" t="s">
        <v>115</v>
      </c>
    </row>
    <row r="77" spans="1:5" x14ac:dyDescent="0.35">
      <c r="A77">
        <v>16</v>
      </c>
      <c r="B77" t="s">
        <v>34</v>
      </c>
      <c r="C77" t="s">
        <v>86</v>
      </c>
      <c r="D77">
        <v>34387</v>
      </c>
      <c r="E77" t="s">
        <v>112</v>
      </c>
    </row>
    <row r="78" spans="1:5" x14ac:dyDescent="0.35">
      <c r="A78">
        <v>16</v>
      </c>
      <c r="B78" t="s">
        <v>34</v>
      </c>
      <c r="C78" t="s">
        <v>87</v>
      </c>
      <c r="D78">
        <v>2169</v>
      </c>
      <c r="E78" t="s">
        <v>112</v>
      </c>
    </row>
    <row r="79" spans="1:5" x14ac:dyDescent="0.35">
      <c r="A79">
        <v>16</v>
      </c>
      <c r="B79" t="s">
        <v>34</v>
      </c>
      <c r="C79" t="s">
        <v>88</v>
      </c>
      <c r="D79">
        <v>36556</v>
      </c>
      <c r="E79" t="s">
        <v>112</v>
      </c>
    </row>
    <row r="80" spans="1:5" x14ac:dyDescent="0.35">
      <c r="A80">
        <v>16</v>
      </c>
      <c r="B80" t="s">
        <v>34</v>
      </c>
      <c r="C80" t="s">
        <v>89</v>
      </c>
      <c r="D80">
        <v>0</v>
      </c>
      <c r="E80" t="s">
        <v>112</v>
      </c>
    </row>
    <row r="81" spans="1:5" x14ac:dyDescent="0.35">
      <c r="A81">
        <v>16</v>
      </c>
      <c r="B81" t="s">
        <v>34</v>
      </c>
      <c r="C81" t="s">
        <v>90</v>
      </c>
      <c r="D81">
        <v>36556</v>
      </c>
      <c r="E81" t="s">
        <v>112</v>
      </c>
    </row>
    <row r="82" spans="1:5" x14ac:dyDescent="0.35">
      <c r="A82">
        <v>17</v>
      </c>
      <c r="B82" t="s">
        <v>36</v>
      </c>
      <c r="C82" t="s">
        <v>86</v>
      </c>
      <c r="D82">
        <v>2801</v>
      </c>
      <c r="E82" t="s">
        <v>112</v>
      </c>
    </row>
    <row r="83" spans="1:5" x14ac:dyDescent="0.35">
      <c r="A83">
        <v>17</v>
      </c>
      <c r="B83" t="s">
        <v>36</v>
      </c>
      <c r="C83" t="s">
        <v>87</v>
      </c>
      <c r="D83">
        <v>2</v>
      </c>
      <c r="E83" t="s">
        <v>112</v>
      </c>
    </row>
    <row r="84" spans="1:5" x14ac:dyDescent="0.35">
      <c r="A84">
        <v>17</v>
      </c>
      <c r="B84" t="s">
        <v>36</v>
      </c>
      <c r="C84" t="s">
        <v>88</v>
      </c>
      <c r="D84">
        <v>2803</v>
      </c>
      <c r="E84" t="s">
        <v>112</v>
      </c>
    </row>
    <row r="85" spans="1:5" x14ac:dyDescent="0.35">
      <c r="A85">
        <v>17</v>
      </c>
      <c r="B85" t="s">
        <v>36</v>
      </c>
      <c r="C85" t="s">
        <v>89</v>
      </c>
      <c r="D85">
        <v>69</v>
      </c>
      <c r="E85" t="s">
        <v>112</v>
      </c>
    </row>
    <row r="86" spans="1:5" x14ac:dyDescent="0.35">
      <c r="A86">
        <v>17</v>
      </c>
      <c r="B86" t="s">
        <v>36</v>
      </c>
      <c r="C86" t="s">
        <v>90</v>
      </c>
      <c r="D86">
        <v>2872</v>
      </c>
      <c r="E86" t="s">
        <v>112</v>
      </c>
    </row>
    <row r="87" spans="1:5" x14ac:dyDescent="0.35">
      <c r="A87">
        <v>18</v>
      </c>
      <c r="B87" t="s">
        <v>78</v>
      </c>
      <c r="C87" t="s">
        <v>86</v>
      </c>
      <c r="D87">
        <v>0</v>
      </c>
      <c r="E87" t="s">
        <v>116</v>
      </c>
    </row>
    <row r="88" spans="1:5" x14ac:dyDescent="0.35">
      <c r="A88">
        <v>18</v>
      </c>
      <c r="B88" t="s">
        <v>78</v>
      </c>
      <c r="C88" t="s">
        <v>87</v>
      </c>
      <c r="D88">
        <v>194</v>
      </c>
      <c r="E88" t="s">
        <v>116</v>
      </c>
    </row>
    <row r="89" spans="1:5" x14ac:dyDescent="0.35">
      <c r="A89">
        <v>18</v>
      </c>
      <c r="B89" t="s">
        <v>78</v>
      </c>
      <c r="C89" t="s">
        <v>88</v>
      </c>
      <c r="D89">
        <v>194</v>
      </c>
      <c r="E89" t="s">
        <v>116</v>
      </c>
    </row>
    <row r="90" spans="1:5" x14ac:dyDescent="0.35">
      <c r="A90">
        <v>18</v>
      </c>
      <c r="B90" t="s">
        <v>78</v>
      </c>
      <c r="C90" t="s">
        <v>89</v>
      </c>
      <c r="D90">
        <v>0</v>
      </c>
      <c r="E90" t="s">
        <v>116</v>
      </c>
    </row>
    <row r="91" spans="1:5" x14ac:dyDescent="0.35">
      <c r="A91">
        <v>18</v>
      </c>
      <c r="B91" t="s">
        <v>78</v>
      </c>
      <c r="C91" t="s">
        <v>90</v>
      </c>
      <c r="D91">
        <v>194</v>
      </c>
      <c r="E91" t="s">
        <v>116</v>
      </c>
    </row>
    <row r="92" spans="1:5" x14ac:dyDescent="0.35">
      <c r="A92">
        <v>19</v>
      </c>
      <c r="B92" t="s">
        <v>38</v>
      </c>
      <c r="C92" t="s">
        <v>86</v>
      </c>
      <c r="D92">
        <v>18251</v>
      </c>
      <c r="E92" t="s">
        <v>117</v>
      </c>
    </row>
    <row r="93" spans="1:5" x14ac:dyDescent="0.35">
      <c r="A93">
        <v>19</v>
      </c>
      <c r="B93" t="s">
        <v>38</v>
      </c>
      <c r="C93" t="s">
        <v>87</v>
      </c>
      <c r="D93">
        <v>1481</v>
      </c>
      <c r="E93" t="s">
        <v>117</v>
      </c>
    </row>
    <row r="94" spans="1:5" x14ac:dyDescent="0.35">
      <c r="A94">
        <v>19</v>
      </c>
      <c r="B94" t="s">
        <v>38</v>
      </c>
      <c r="C94" t="s">
        <v>88</v>
      </c>
      <c r="D94">
        <v>19732</v>
      </c>
      <c r="E94" t="s">
        <v>117</v>
      </c>
    </row>
    <row r="95" spans="1:5" x14ac:dyDescent="0.35">
      <c r="A95">
        <v>19</v>
      </c>
      <c r="B95" t="s">
        <v>38</v>
      </c>
      <c r="C95" t="s">
        <v>89</v>
      </c>
      <c r="D95">
        <v>10135</v>
      </c>
      <c r="E95" t="s">
        <v>117</v>
      </c>
    </row>
    <row r="96" spans="1:5" x14ac:dyDescent="0.35">
      <c r="A96">
        <v>19</v>
      </c>
      <c r="B96" t="s">
        <v>38</v>
      </c>
      <c r="C96" t="s">
        <v>90</v>
      </c>
      <c r="D96">
        <v>29867</v>
      </c>
      <c r="E96" t="s">
        <v>117</v>
      </c>
    </row>
    <row r="97" spans="1:5" x14ac:dyDescent="0.35">
      <c r="A97">
        <v>20</v>
      </c>
      <c r="B97" t="s">
        <v>40</v>
      </c>
      <c r="C97" t="s">
        <v>86</v>
      </c>
      <c r="D97">
        <v>166465</v>
      </c>
      <c r="E97" t="s">
        <v>118</v>
      </c>
    </row>
    <row r="98" spans="1:5" x14ac:dyDescent="0.35">
      <c r="A98">
        <v>20</v>
      </c>
      <c r="B98" t="s">
        <v>40</v>
      </c>
      <c r="C98" t="s">
        <v>87</v>
      </c>
      <c r="D98">
        <v>0</v>
      </c>
      <c r="E98" t="s">
        <v>118</v>
      </c>
    </row>
    <row r="99" spans="1:5" x14ac:dyDescent="0.35">
      <c r="A99">
        <v>20</v>
      </c>
      <c r="B99" t="s">
        <v>40</v>
      </c>
      <c r="C99" t="s">
        <v>88</v>
      </c>
      <c r="D99">
        <v>166465</v>
      </c>
      <c r="E99" t="s">
        <v>118</v>
      </c>
    </row>
    <row r="100" spans="1:5" x14ac:dyDescent="0.35">
      <c r="A100">
        <v>20</v>
      </c>
      <c r="B100" t="s">
        <v>40</v>
      </c>
      <c r="C100" t="s">
        <v>89</v>
      </c>
      <c r="D100">
        <v>0</v>
      </c>
      <c r="E100" t="s">
        <v>118</v>
      </c>
    </row>
    <row r="101" spans="1:5" x14ac:dyDescent="0.35">
      <c r="A101">
        <v>20</v>
      </c>
      <c r="B101" t="s">
        <v>40</v>
      </c>
      <c r="C101" t="s">
        <v>90</v>
      </c>
      <c r="D101">
        <v>166465</v>
      </c>
      <c r="E101" t="s">
        <v>118</v>
      </c>
    </row>
    <row r="102" spans="1:5" x14ac:dyDescent="0.35">
      <c r="A102">
        <v>21</v>
      </c>
      <c r="B102" t="s">
        <v>42</v>
      </c>
      <c r="C102" t="s">
        <v>86</v>
      </c>
      <c r="D102">
        <v>443</v>
      </c>
      <c r="E102" t="s">
        <v>114</v>
      </c>
    </row>
    <row r="103" spans="1:5" x14ac:dyDescent="0.35">
      <c r="A103">
        <v>21</v>
      </c>
      <c r="B103" t="s">
        <v>42</v>
      </c>
      <c r="C103" t="s">
        <v>87</v>
      </c>
      <c r="D103">
        <v>69</v>
      </c>
      <c r="E103" t="s">
        <v>114</v>
      </c>
    </row>
    <row r="104" spans="1:5" x14ac:dyDescent="0.35">
      <c r="A104">
        <v>21</v>
      </c>
      <c r="B104" t="s">
        <v>42</v>
      </c>
      <c r="C104" t="s">
        <v>88</v>
      </c>
      <c r="D104">
        <v>512</v>
      </c>
      <c r="E104" t="s">
        <v>114</v>
      </c>
    </row>
    <row r="105" spans="1:5" x14ac:dyDescent="0.35">
      <c r="A105">
        <v>21</v>
      </c>
      <c r="B105" t="s">
        <v>42</v>
      </c>
      <c r="C105" t="s">
        <v>89</v>
      </c>
      <c r="D105">
        <v>69</v>
      </c>
      <c r="E105" t="s">
        <v>114</v>
      </c>
    </row>
    <row r="106" spans="1:5" x14ac:dyDescent="0.35">
      <c r="A106">
        <v>21</v>
      </c>
      <c r="B106" t="s">
        <v>42</v>
      </c>
      <c r="C106" t="s">
        <v>90</v>
      </c>
      <c r="D106">
        <v>581</v>
      </c>
      <c r="E106" t="s">
        <v>114</v>
      </c>
    </row>
    <row r="107" spans="1:5" x14ac:dyDescent="0.35">
      <c r="A107">
        <v>22</v>
      </c>
      <c r="B107" t="s">
        <v>44</v>
      </c>
      <c r="C107" t="s">
        <v>86</v>
      </c>
      <c r="D107">
        <v>152</v>
      </c>
      <c r="E107" t="s">
        <v>114</v>
      </c>
    </row>
    <row r="108" spans="1:5" x14ac:dyDescent="0.35">
      <c r="A108">
        <v>22</v>
      </c>
      <c r="B108" t="s">
        <v>44</v>
      </c>
      <c r="C108" t="s">
        <v>87</v>
      </c>
      <c r="D108">
        <v>0</v>
      </c>
      <c r="E108" t="s">
        <v>114</v>
      </c>
    </row>
    <row r="109" spans="1:5" x14ac:dyDescent="0.35">
      <c r="A109">
        <v>22</v>
      </c>
      <c r="B109" t="s">
        <v>44</v>
      </c>
      <c r="C109" t="s">
        <v>88</v>
      </c>
      <c r="D109">
        <v>152</v>
      </c>
      <c r="E109" t="s">
        <v>114</v>
      </c>
    </row>
    <row r="110" spans="1:5" x14ac:dyDescent="0.35">
      <c r="A110">
        <v>22</v>
      </c>
      <c r="B110" t="s">
        <v>44</v>
      </c>
      <c r="C110" t="s">
        <v>89</v>
      </c>
      <c r="D110">
        <v>0</v>
      </c>
      <c r="E110" t="s">
        <v>114</v>
      </c>
    </row>
    <row r="111" spans="1:5" x14ac:dyDescent="0.35">
      <c r="A111">
        <v>22</v>
      </c>
      <c r="B111" t="s">
        <v>44</v>
      </c>
      <c r="C111" t="s">
        <v>90</v>
      </c>
      <c r="D111">
        <v>152</v>
      </c>
      <c r="E111" t="s">
        <v>114</v>
      </c>
    </row>
    <row r="112" spans="1:5" x14ac:dyDescent="0.35">
      <c r="A112">
        <v>23</v>
      </c>
      <c r="B112" t="s">
        <v>46</v>
      </c>
      <c r="C112" t="s">
        <v>86</v>
      </c>
      <c r="D112">
        <v>188</v>
      </c>
      <c r="E112" t="s">
        <v>114</v>
      </c>
    </row>
    <row r="113" spans="1:5" x14ac:dyDescent="0.35">
      <c r="A113">
        <v>23</v>
      </c>
      <c r="B113" t="s">
        <v>46</v>
      </c>
      <c r="C113" t="s">
        <v>87</v>
      </c>
      <c r="D113">
        <v>393</v>
      </c>
      <c r="E113" t="s">
        <v>114</v>
      </c>
    </row>
    <row r="114" spans="1:5" x14ac:dyDescent="0.35">
      <c r="A114">
        <v>23</v>
      </c>
      <c r="B114" t="s">
        <v>46</v>
      </c>
      <c r="C114" t="s">
        <v>88</v>
      </c>
      <c r="D114">
        <v>581</v>
      </c>
      <c r="E114" t="s">
        <v>114</v>
      </c>
    </row>
    <row r="115" spans="1:5" x14ac:dyDescent="0.35">
      <c r="A115">
        <v>23</v>
      </c>
      <c r="B115" t="s">
        <v>46</v>
      </c>
      <c r="C115" t="s">
        <v>89</v>
      </c>
      <c r="D115">
        <v>743</v>
      </c>
      <c r="E115" t="s">
        <v>114</v>
      </c>
    </row>
    <row r="116" spans="1:5" x14ac:dyDescent="0.35">
      <c r="A116">
        <v>23</v>
      </c>
      <c r="B116" t="s">
        <v>46</v>
      </c>
      <c r="C116" t="s">
        <v>90</v>
      </c>
      <c r="D116">
        <v>1324</v>
      </c>
      <c r="E116" t="s">
        <v>114</v>
      </c>
    </row>
    <row r="117" spans="1:5" x14ac:dyDescent="0.35">
      <c r="A117">
        <v>24</v>
      </c>
      <c r="B117" t="s">
        <v>48</v>
      </c>
      <c r="C117" t="s">
        <v>86</v>
      </c>
      <c r="D117">
        <v>235</v>
      </c>
      <c r="E117" t="s">
        <v>114</v>
      </c>
    </row>
    <row r="118" spans="1:5" x14ac:dyDescent="0.35">
      <c r="A118">
        <v>24</v>
      </c>
      <c r="B118" t="s">
        <v>48</v>
      </c>
      <c r="C118" t="s">
        <v>87</v>
      </c>
      <c r="D118">
        <v>0</v>
      </c>
      <c r="E118" t="s">
        <v>114</v>
      </c>
    </row>
    <row r="119" spans="1:5" x14ac:dyDescent="0.35">
      <c r="A119">
        <v>24</v>
      </c>
      <c r="B119" t="s">
        <v>48</v>
      </c>
      <c r="C119" t="s">
        <v>88</v>
      </c>
      <c r="D119">
        <v>235</v>
      </c>
      <c r="E119" t="s">
        <v>114</v>
      </c>
    </row>
    <row r="120" spans="1:5" x14ac:dyDescent="0.35">
      <c r="A120">
        <v>24</v>
      </c>
      <c r="B120" t="s">
        <v>48</v>
      </c>
      <c r="C120" t="s">
        <v>89</v>
      </c>
      <c r="D120">
        <v>3</v>
      </c>
      <c r="E120" t="s">
        <v>114</v>
      </c>
    </row>
    <row r="121" spans="1:5" x14ac:dyDescent="0.35">
      <c r="A121">
        <v>24</v>
      </c>
      <c r="B121" t="s">
        <v>48</v>
      </c>
      <c r="C121" t="s">
        <v>90</v>
      </c>
      <c r="D121">
        <v>238</v>
      </c>
      <c r="E121" t="s">
        <v>114</v>
      </c>
    </row>
    <row r="122" spans="1:5" x14ac:dyDescent="0.35">
      <c r="A122">
        <v>25</v>
      </c>
      <c r="B122" t="s">
        <v>50</v>
      </c>
      <c r="C122" t="s">
        <v>86</v>
      </c>
      <c r="D122">
        <v>9072</v>
      </c>
      <c r="E122" t="s">
        <v>115</v>
      </c>
    </row>
    <row r="123" spans="1:5" x14ac:dyDescent="0.35">
      <c r="A123">
        <v>25</v>
      </c>
      <c r="B123" t="s">
        <v>50</v>
      </c>
      <c r="C123" t="s">
        <v>87</v>
      </c>
      <c r="D123">
        <v>2927</v>
      </c>
      <c r="E123" t="s">
        <v>115</v>
      </c>
    </row>
    <row r="124" spans="1:5" x14ac:dyDescent="0.35">
      <c r="A124">
        <v>25</v>
      </c>
      <c r="B124" t="s">
        <v>50</v>
      </c>
      <c r="C124" t="s">
        <v>88</v>
      </c>
      <c r="D124">
        <v>11999</v>
      </c>
      <c r="E124" t="s">
        <v>115</v>
      </c>
    </row>
    <row r="125" spans="1:5" x14ac:dyDescent="0.35">
      <c r="A125">
        <v>25</v>
      </c>
      <c r="B125" t="s">
        <v>50</v>
      </c>
      <c r="C125" t="s">
        <v>89</v>
      </c>
      <c r="D125">
        <v>212</v>
      </c>
      <c r="E125" t="s">
        <v>115</v>
      </c>
    </row>
    <row r="126" spans="1:5" x14ac:dyDescent="0.35">
      <c r="A126">
        <v>25</v>
      </c>
      <c r="B126" t="s">
        <v>50</v>
      </c>
      <c r="C126" t="s">
        <v>90</v>
      </c>
      <c r="D126">
        <v>12211</v>
      </c>
      <c r="E126" t="s">
        <v>115</v>
      </c>
    </row>
    <row r="127" spans="1:5" x14ac:dyDescent="0.35">
      <c r="A127">
        <v>26</v>
      </c>
      <c r="B127" t="s">
        <v>52</v>
      </c>
      <c r="C127" t="s">
        <v>86</v>
      </c>
      <c r="D127">
        <v>466</v>
      </c>
      <c r="E127" t="s">
        <v>112</v>
      </c>
    </row>
    <row r="128" spans="1:5" x14ac:dyDescent="0.35">
      <c r="A128">
        <v>26</v>
      </c>
      <c r="B128" t="s">
        <v>52</v>
      </c>
      <c r="C128" t="s">
        <v>87</v>
      </c>
      <c r="D128">
        <v>370</v>
      </c>
      <c r="E128" t="s">
        <v>112</v>
      </c>
    </row>
    <row r="129" spans="1:5" x14ac:dyDescent="0.35">
      <c r="A129">
        <v>26</v>
      </c>
      <c r="B129" t="s">
        <v>52</v>
      </c>
      <c r="C129" t="s">
        <v>88</v>
      </c>
      <c r="D129">
        <v>836</v>
      </c>
      <c r="E129" t="s">
        <v>112</v>
      </c>
    </row>
    <row r="130" spans="1:5" x14ac:dyDescent="0.35">
      <c r="A130">
        <v>26</v>
      </c>
      <c r="B130" t="s">
        <v>52</v>
      </c>
      <c r="C130" t="s">
        <v>89</v>
      </c>
      <c r="D130">
        <v>0</v>
      </c>
      <c r="E130" t="s">
        <v>112</v>
      </c>
    </row>
    <row r="131" spans="1:5" x14ac:dyDescent="0.35">
      <c r="A131">
        <v>26</v>
      </c>
      <c r="B131" t="s">
        <v>52</v>
      </c>
      <c r="C131" t="s">
        <v>90</v>
      </c>
      <c r="D131">
        <v>836</v>
      </c>
      <c r="E131" t="s">
        <v>112</v>
      </c>
    </row>
    <row r="132" spans="1:5" x14ac:dyDescent="0.35">
      <c r="A132">
        <v>27</v>
      </c>
      <c r="B132" t="s">
        <v>54</v>
      </c>
      <c r="C132" t="s">
        <v>86</v>
      </c>
      <c r="D132">
        <v>10775</v>
      </c>
      <c r="E132" t="s">
        <v>116</v>
      </c>
    </row>
    <row r="133" spans="1:5" x14ac:dyDescent="0.35">
      <c r="A133">
        <v>27</v>
      </c>
      <c r="B133" t="s">
        <v>54</v>
      </c>
      <c r="C133" t="s">
        <v>87</v>
      </c>
      <c r="D133">
        <v>613</v>
      </c>
      <c r="E133" t="s">
        <v>116</v>
      </c>
    </row>
    <row r="134" spans="1:5" x14ac:dyDescent="0.35">
      <c r="A134">
        <v>27</v>
      </c>
      <c r="B134" t="s">
        <v>54</v>
      </c>
      <c r="C134" t="s">
        <v>88</v>
      </c>
      <c r="D134">
        <v>11388</v>
      </c>
      <c r="E134" t="s">
        <v>116</v>
      </c>
    </row>
    <row r="135" spans="1:5" x14ac:dyDescent="0.35">
      <c r="A135">
        <v>27</v>
      </c>
      <c r="B135" t="s">
        <v>54</v>
      </c>
      <c r="C135" t="s">
        <v>89</v>
      </c>
      <c r="D135">
        <v>134</v>
      </c>
      <c r="E135" t="s">
        <v>116</v>
      </c>
    </row>
    <row r="136" spans="1:5" x14ac:dyDescent="0.35">
      <c r="A136">
        <v>27</v>
      </c>
      <c r="B136" t="s">
        <v>54</v>
      </c>
      <c r="C136" t="s">
        <v>90</v>
      </c>
      <c r="D136">
        <v>11522</v>
      </c>
      <c r="E136" t="s">
        <v>116</v>
      </c>
    </row>
    <row r="137" spans="1:5" x14ac:dyDescent="0.35">
      <c r="A137">
        <v>28</v>
      </c>
      <c r="B137" t="s">
        <v>56</v>
      </c>
      <c r="C137" t="s">
        <v>86</v>
      </c>
      <c r="D137">
        <v>23147</v>
      </c>
      <c r="E137" t="s">
        <v>116</v>
      </c>
    </row>
    <row r="138" spans="1:5" x14ac:dyDescent="0.35">
      <c r="A138">
        <v>28</v>
      </c>
      <c r="B138" t="s">
        <v>56</v>
      </c>
      <c r="C138" t="s">
        <v>87</v>
      </c>
      <c r="D138">
        <v>8153</v>
      </c>
      <c r="E138" t="s">
        <v>116</v>
      </c>
    </row>
    <row r="139" spans="1:5" x14ac:dyDescent="0.35">
      <c r="A139">
        <v>28</v>
      </c>
      <c r="B139" t="s">
        <v>56</v>
      </c>
      <c r="C139" t="s">
        <v>88</v>
      </c>
      <c r="D139">
        <v>31300</v>
      </c>
      <c r="E139" t="s">
        <v>116</v>
      </c>
    </row>
    <row r="140" spans="1:5" x14ac:dyDescent="0.35">
      <c r="A140">
        <v>28</v>
      </c>
      <c r="B140" t="s">
        <v>56</v>
      </c>
      <c r="C140" t="s">
        <v>89</v>
      </c>
      <c r="D140">
        <v>0</v>
      </c>
      <c r="E140" t="s">
        <v>116</v>
      </c>
    </row>
    <row r="141" spans="1:5" x14ac:dyDescent="0.35">
      <c r="A141">
        <v>28</v>
      </c>
      <c r="B141" t="s">
        <v>56</v>
      </c>
      <c r="C141" t="s">
        <v>90</v>
      </c>
      <c r="D141">
        <v>31300</v>
      </c>
      <c r="E141" t="s">
        <v>116</v>
      </c>
    </row>
    <row r="142" spans="1:5" x14ac:dyDescent="0.35">
      <c r="A142">
        <v>29</v>
      </c>
      <c r="B142" t="s">
        <v>58</v>
      </c>
      <c r="C142" t="s">
        <v>86</v>
      </c>
      <c r="D142">
        <v>163</v>
      </c>
      <c r="E142" t="s">
        <v>114</v>
      </c>
    </row>
    <row r="143" spans="1:5" x14ac:dyDescent="0.35">
      <c r="A143">
        <v>29</v>
      </c>
      <c r="B143" t="s">
        <v>58</v>
      </c>
      <c r="C143" t="s">
        <v>87</v>
      </c>
      <c r="D143">
        <v>0</v>
      </c>
      <c r="E143" t="s">
        <v>114</v>
      </c>
    </row>
    <row r="144" spans="1:5" x14ac:dyDescent="0.35">
      <c r="A144">
        <v>29</v>
      </c>
      <c r="B144" t="s">
        <v>58</v>
      </c>
      <c r="C144" t="s">
        <v>88</v>
      </c>
      <c r="D144">
        <v>163</v>
      </c>
      <c r="E144" t="s">
        <v>114</v>
      </c>
    </row>
    <row r="145" spans="1:5" x14ac:dyDescent="0.35">
      <c r="A145">
        <v>29</v>
      </c>
      <c r="B145" t="s">
        <v>58</v>
      </c>
      <c r="C145" t="s">
        <v>89</v>
      </c>
      <c r="D145">
        <v>105</v>
      </c>
      <c r="E145" t="s">
        <v>114</v>
      </c>
    </row>
    <row r="146" spans="1:5" x14ac:dyDescent="0.35">
      <c r="A146">
        <v>29</v>
      </c>
      <c r="B146" t="s">
        <v>58</v>
      </c>
      <c r="C146" t="s">
        <v>90</v>
      </c>
      <c r="D146">
        <v>268</v>
      </c>
      <c r="E146" t="s">
        <v>114</v>
      </c>
    </row>
    <row r="147" spans="1:5" x14ac:dyDescent="0.35">
      <c r="A147">
        <v>30</v>
      </c>
      <c r="B147" t="s">
        <v>60</v>
      </c>
      <c r="C147" t="s">
        <v>86</v>
      </c>
      <c r="D147">
        <v>89648</v>
      </c>
      <c r="E147" t="s">
        <v>112</v>
      </c>
    </row>
    <row r="148" spans="1:5" x14ac:dyDescent="0.35">
      <c r="A148">
        <v>30</v>
      </c>
      <c r="B148" t="s">
        <v>60</v>
      </c>
      <c r="C148" t="s">
        <v>87</v>
      </c>
      <c r="D148">
        <v>3096</v>
      </c>
      <c r="E148" t="s">
        <v>112</v>
      </c>
    </row>
    <row r="149" spans="1:5" x14ac:dyDescent="0.35">
      <c r="A149">
        <v>30</v>
      </c>
      <c r="B149" t="s">
        <v>60</v>
      </c>
      <c r="C149" t="s">
        <v>88</v>
      </c>
      <c r="D149">
        <v>92744</v>
      </c>
      <c r="E149" t="s">
        <v>112</v>
      </c>
    </row>
    <row r="150" spans="1:5" x14ac:dyDescent="0.35">
      <c r="A150">
        <v>30</v>
      </c>
      <c r="B150" t="s">
        <v>60</v>
      </c>
      <c r="C150" t="s">
        <v>89</v>
      </c>
      <c r="D150">
        <v>0</v>
      </c>
      <c r="E150" t="s">
        <v>112</v>
      </c>
    </row>
    <row r="151" spans="1:5" x14ac:dyDescent="0.35">
      <c r="A151">
        <v>30</v>
      </c>
      <c r="B151" t="s">
        <v>60</v>
      </c>
      <c r="C151" t="s">
        <v>90</v>
      </c>
      <c r="D151">
        <v>92744</v>
      </c>
      <c r="E151" t="s">
        <v>112</v>
      </c>
    </row>
    <row r="152" spans="1:5" x14ac:dyDescent="0.35">
      <c r="A152">
        <v>31</v>
      </c>
      <c r="B152" t="s">
        <v>62</v>
      </c>
      <c r="C152" t="s">
        <v>86</v>
      </c>
      <c r="D152">
        <v>6000</v>
      </c>
      <c r="E152" t="s">
        <v>112</v>
      </c>
    </row>
    <row r="153" spans="1:5" x14ac:dyDescent="0.35">
      <c r="A153">
        <v>31</v>
      </c>
      <c r="B153" t="s">
        <v>62</v>
      </c>
      <c r="C153" t="s">
        <v>87</v>
      </c>
      <c r="D153">
        <v>4209</v>
      </c>
      <c r="E153" t="s">
        <v>112</v>
      </c>
    </row>
    <row r="154" spans="1:5" x14ac:dyDescent="0.35">
      <c r="A154">
        <v>31</v>
      </c>
      <c r="B154" t="s">
        <v>62</v>
      </c>
      <c r="C154" t="s">
        <v>88</v>
      </c>
      <c r="D154">
        <v>10209</v>
      </c>
      <c r="E154" t="s">
        <v>112</v>
      </c>
    </row>
    <row r="155" spans="1:5" x14ac:dyDescent="0.35">
      <c r="A155">
        <v>31</v>
      </c>
      <c r="B155" t="s">
        <v>62</v>
      </c>
      <c r="C155" t="s">
        <v>89</v>
      </c>
      <c r="D155">
        <v>5256</v>
      </c>
      <c r="E155" t="s">
        <v>112</v>
      </c>
    </row>
    <row r="156" spans="1:5" x14ac:dyDescent="0.35">
      <c r="A156">
        <v>31</v>
      </c>
      <c r="B156" t="s">
        <v>62</v>
      </c>
      <c r="C156" t="s">
        <v>90</v>
      </c>
      <c r="D156">
        <v>15465</v>
      </c>
      <c r="E156" t="s">
        <v>112</v>
      </c>
    </row>
    <row r="157" spans="1:5" x14ac:dyDescent="0.35">
      <c r="A157">
        <v>32</v>
      </c>
      <c r="B157" t="s">
        <v>64</v>
      </c>
      <c r="C157" t="s">
        <v>86</v>
      </c>
      <c r="D157">
        <v>883</v>
      </c>
      <c r="E157" t="s">
        <v>114</v>
      </c>
    </row>
    <row r="158" spans="1:5" x14ac:dyDescent="0.35">
      <c r="A158">
        <v>32</v>
      </c>
      <c r="B158" t="s">
        <v>64</v>
      </c>
      <c r="C158" t="s">
        <v>87</v>
      </c>
      <c r="D158">
        <v>190</v>
      </c>
      <c r="E158" t="s">
        <v>114</v>
      </c>
    </row>
    <row r="159" spans="1:5" x14ac:dyDescent="0.35">
      <c r="A159">
        <v>32</v>
      </c>
      <c r="B159" t="s">
        <v>64</v>
      </c>
      <c r="C159" t="s">
        <v>88</v>
      </c>
      <c r="D159">
        <v>1073</v>
      </c>
      <c r="E159" t="s">
        <v>114</v>
      </c>
    </row>
    <row r="160" spans="1:5" x14ac:dyDescent="0.35">
      <c r="A160">
        <v>32</v>
      </c>
      <c r="B160" t="s">
        <v>64</v>
      </c>
      <c r="C160" t="s">
        <v>89</v>
      </c>
      <c r="D160">
        <v>16</v>
      </c>
      <c r="E160" t="s">
        <v>114</v>
      </c>
    </row>
    <row r="161" spans="1:5" x14ac:dyDescent="0.35">
      <c r="A161">
        <v>32</v>
      </c>
      <c r="B161" t="s">
        <v>64</v>
      </c>
      <c r="C161" t="s">
        <v>90</v>
      </c>
      <c r="D161">
        <v>1089</v>
      </c>
      <c r="E161" t="s">
        <v>114</v>
      </c>
    </row>
    <row r="162" spans="1:5" x14ac:dyDescent="0.35">
      <c r="A162">
        <v>33</v>
      </c>
      <c r="B162" t="s">
        <v>66</v>
      </c>
      <c r="C162" t="s">
        <v>86</v>
      </c>
      <c r="D162">
        <v>62490</v>
      </c>
      <c r="E162" t="s">
        <v>117</v>
      </c>
    </row>
    <row r="163" spans="1:5" x14ac:dyDescent="0.35">
      <c r="A163">
        <v>33</v>
      </c>
      <c r="B163" t="s">
        <v>66</v>
      </c>
      <c r="C163" t="s">
        <v>87</v>
      </c>
      <c r="D163">
        <v>6802</v>
      </c>
      <c r="E163" t="s">
        <v>117</v>
      </c>
    </row>
    <row r="164" spans="1:5" x14ac:dyDescent="0.35">
      <c r="A164">
        <v>33</v>
      </c>
      <c r="B164" t="s">
        <v>66</v>
      </c>
      <c r="C164" t="s">
        <v>88</v>
      </c>
      <c r="D164">
        <v>69292</v>
      </c>
      <c r="E164" t="s">
        <v>117</v>
      </c>
    </row>
    <row r="165" spans="1:5" x14ac:dyDescent="0.35">
      <c r="A165">
        <v>33</v>
      </c>
      <c r="B165" t="s">
        <v>66</v>
      </c>
      <c r="C165" t="s">
        <v>89</v>
      </c>
      <c r="D165">
        <v>1078</v>
      </c>
      <c r="E165" t="s">
        <v>117</v>
      </c>
    </row>
    <row r="166" spans="1:5" x14ac:dyDescent="0.35">
      <c r="A166">
        <v>33</v>
      </c>
      <c r="B166" t="s">
        <v>66</v>
      </c>
      <c r="C166" t="s">
        <v>90</v>
      </c>
      <c r="D166">
        <v>70370</v>
      </c>
      <c r="E166" t="s">
        <v>117</v>
      </c>
    </row>
    <row r="167" spans="1:5" x14ac:dyDescent="0.35">
      <c r="A167">
        <v>34</v>
      </c>
      <c r="B167" t="s">
        <v>68</v>
      </c>
      <c r="C167" t="s">
        <v>86</v>
      </c>
      <c r="D167">
        <v>4547</v>
      </c>
      <c r="E167" t="s">
        <v>116</v>
      </c>
    </row>
    <row r="168" spans="1:5" x14ac:dyDescent="0.35">
      <c r="A168">
        <v>34</v>
      </c>
      <c r="B168" t="s">
        <v>68</v>
      </c>
      <c r="C168" t="s">
        <v>87</v>
      </c>
      <c r="D168">
        <v>95</v>
      </c>
      <c r="E168" t="s">
        <v>116</v>
      </c>
    </row>
    <row r="169" spans="1:5" x14ac:dyDescent="0.35">
      <c r="A169">
        <v>34</v>
      </c>
      <c r="B169" t="s">
        <v>68</v>
      </c>
      <c r="C169" t="s">
        <v>88</v>
      </c>
      <c r="D169">
        <v>4642</v>
      </c>
      <c r="E169" t="s">
        <v>116</v>
      </c>
    </row>
    <row r="170" spans="1:5" x14ac:dyDescent="0.35">
      <c r="A170">
        <v>34</v>
      </c>
      <c r="B170" t="s">
        <v>68</v>
      </c>
      <c r="C170" t="s">
        <v>89</v>
      </c>
      <c r="D170">
        <v>52</v>
      </c>
      <c r="E170" t="s">
        <v>116</v>
      </c>
    </row>
    <row r="171" spans="1:5" x14ac:dyDescent="0.35">
      <c r="A171">
        <v>34</v>
      </c>
      <c r="B171" t="s">
        <v>68</v>
      </c>
      <c r="C171" t="s">
        <v>90</v>
      </c>
      <c r="D171">
        <v>4694</v>
      </c>
      <c r="E171" t="s">
        <v>116</v>
      </c>
    </row>
    <row r="172" spans="1:5" x14ac:dyDescent="0.35">
      <c r="A172">
        <v>35</v>
      </c>
      <c r="B172" t="s">
        <v>70</v>
      </c>
      <c r="C172" t="s">
        <v>86</v>
      </c>
      <c r="D172">
        <v>299</v>
      </c>
      <c r="E172" t="s">
        <v>115</v>
      </c>
    </row>
    <row r="173" spans="1:5" x14ac:dyDescent="0.35">
      <c r="A173">
        <v>35</v>
      </c>
      <c r="B173" t="s">
        <v>70</v>
      </c>
      <c r="C173" t="s">
        <v>87</v>
      </c>
      <c r="D173">
        <v>5447</v>
      </c>
      <c r="E173" t="s">
        <v>115</v>
      </c>
    </row>
    <row r="174" spans="1:5" x14ac:dyDescent="0.35">
      <c r="A174">
        <v>35</v>
      </c>
      <c r="B174" t="s">
        <v>70</v>
      </c>
      <c r="C174" t="s">
        <v>88</v>
      </c>
      <c r="D174">
        <v>5746</v>
      </c>
      <c r="E174" t="s">
        <v>115</v>
      </c>
    </row>
    <row r="175" spans="1:5" x14ac:dyDescent="0.35">
      <c r="A175">
        <v>35</v>
      </c>
      <c r="B175" t="s">
        <v>70</v>
      </c>
      <c r="C175" t="s">
        <v>89</v>
      </c>
      <c r="D175">
        <v>0</v>
      </c>
      <c r="E175" t="s">
        <v>115</v>
      </c>
    </row>
    <row r="176" spans="1:5" x14ac:dyDescent="0.35">
      <c r="A176">
        <v>35</v>
      </c>
      <c r="B176" t="s">
        <v>70</v>
      </c>
      <c r="C176" t="s">
        <v>90</v>
      </c>
      <c r="D176">
        <v>5746</v>
      </c>
      <c r="E176" t="s">
        <v>115</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2C0E06-3F2B-474A-941F-9EB0987316E3}">
  <dimension ref="A1:G37"/>
  <sheetViews>
    <sheetView zoomScale="55" zoomScaleNormal="55" workbookViewId="0">
      <selection activeCell="E39" sqref="E39"/>
    </sheetView>
  </sheetViews>
  <sheetFormatPr defaultRowHeight="14.5" x14ac:dyDescent="0.35"/>
  <cols>
    <col min="2" max="2" width="32.453125" bestFit="1" customWidth="1"/>
    <col min="3" max="3" width="31.81640625" bestFit="1" customWidth="1"/>
    <col min="4" max="5" width="39.1796875" bestFit="1" customWidth="1"/>
    <col min="6" max="6" width="46.81640625" bestFit="1" customWidth="1"/>
    <col min="7" max="7" width="39.81640625" bestFit="1" customWidth="1"/>
  </cols>
  <sheetData>
    <row r="1" spans="1:7" x14ac:dyDescent="0.35">
      <c r="A1" s="2" t="s">
        <v>0</v>
      </c>
      <c r="B1" s="2" t="s">
        <v>1</v>
      </c>
      <c r="C1" s="2" t="s">
        <v>86</v>
      </c>
      <c r="D1" s="2" t="s">
        <v>87</v>
      </c>
      <c r="E1" s="2" t="s">
        <v>88</v>
      </c>
      <c r="F1" s="2" t="s">
        <v>89</v>
      </c>
      <c r="G1" s="12" t="s">
        <v>90</v>
      </c>
    </row>
    <row r="2" spans="1:7" x14ac:dyDescent="0.35">
      <c r="A2" s="3" t="s">
        <v>3</v>
      </c>
      <c r="B2" s="3" t="s">
        <v>4</v>
      </c>
      <c r="C2" s="4">
        <v>17757</v>
      </c>
      <c r="D2" s="3">
        <f>E2-C2</f>
        <v>40</v>
      </c>
      <c r="E2" s="3">
        <v>17797</v>
      </c>
      <c r="F2" s="3">
        <f>G2-E2</f>
        <v>2</v>
      </c>
      <c r="G2" s="3">
        <v>17799</v>
      </c>
    </row>
    <row r="3" spans="1:7" x14ac:dyDescent="0.35">
      <c r="A3" s="5" t="s">
        <v>5</v>
      </c>
      <c r="B3" s="5" t="s">
        <v>6</v>
      </c>
      <c r="C3" s="6">
        <v>603</v>
      </c>
      <c r="D3" s="5">
        <f t="shared" ref="D3:D36" si="0">E3-C3</f>
        <v>0</v>
      </c>
      <c r="E3" s="5">
        <v>603</v>
      </c>
      <c r="F3" s="5">
        <f t="shared" ref="F3:F36" si="1">G3-E3</f>
        <v>6</v>
      </c>
      <c r="G3" s="5">
        <v>609</v>
      </c>
    </row>
    <row r="4" spans="1:7" x14ac:dyDescent="0.35">
      <c r="A4" s="3" t="s">
        <v>7</v>
      </c>
      <c r="B4" s="3" t="s">
        <v>8</v>
      </c>
      <c r="C4" s="4">
        <v>46</v>
      </c>
      <c r="D4" s="3">
        <f t="shared" si="0"/>
        <v>0</v>
      </c>
      <c r="E4" s="3">
        <v>46</v>
      </c>
      <c r="F4" s="3">
        <f t="shared" si="1"/>
        <v>43</v>
      </c>
      <c r="G4" s="3">
        <v>89</v>
      </c>
    </row>
    <row r="5" spans="1:7" x14ac:dyDescent="0.35">
      <c r="A5" s="5" t="s">
        <v>9</v>
      </c>
      <c r="B5" s="5" t="s">
        <v>10</v>
      </c>
      <c r="C5" s="6">
        <v>3286</v>
      </c>
      <c r="D5" s="5">
        <f t="shared" si="0"/>
        <v>64</v>
      </c>
      <c r="E5" s="5">
        <v>3350</v>
      </c>
      <c r="F5" s="5">
        <f t="shared" si="1"/>
        <v>6</v>
      </c>
      <c r="G5" s="5">
        <v>3356</v>
      </c>
    </row>
    <row r="6" spans="1:7" x14ac:dyDescent="0.35">
      <c r="A6" s="3" t="s">
        <v>11</v>
      </c>
      <c r="B6" s="3" t="s">
        <v>12</v>
      </c>
      <c r="C6" s="4">
        <v>16124</v>
      </c>
      <c r="D6" s="3">
        <f t="shared" si="0"/>
        <v>4754</v>
      </c>
      <c r="E6" s="3">
        <v>20878</v>
      </c>
      <c r="F6" s="3">
        <f t="shared" si="1"/>
        <v>7799</v>
      </c>
      <c r="G6" s="3">
        <v>28677</v>
      </c>
    </row>
    <row r="7" spans="1:7" x14ac:dyDescent="0.35">
      <c r="A7" s="5" t="s">
        <v>13</v>
      </c>
      <c r="B7" s="5" t="s">
        <v>14</v>
      </c>
      <c r="C7" s="6">
        <v>2512</v>
      </c>
      <c r="D7" s="5">
        <f t="shared" si="0"/>
        <v>0</v>
      </c>
      <c r="E7" s="5">
        <v>2512</v>
      </c>
      <c r="F7" s="5">
        <f t="shared" si="1"/>
        <v>0</v>
      </c>
      <c r="G7" s="5">
        <v>2512</v>
      </c>
    </row>
    <row r="8" spans="1:7" x14ac:dyDescent="0.35">
      <c r="A8" s="3" t="s">
        <v>15</v>
      </c>
      <c r="B8" s="3" t="s">
        <v>16</v>
      </c>
      <c r="C8" s="4">
        <v>18832</v>
      </c>
      <c r="D8" s="3">
        <f t="shared" si="0"/>
        <v>0</v>
      </c>
      <c r="E8" s="3">
        <v>18832</v>
      </c>
      <c r="F8" s="3">
        <f t="shared" si="1"/>
        <v>0</v>
      </c>
      <c r="G8" s="3">
        <v>18832</v>
      </c>
    </row>
    <row r="9" spans="1:7" x14ac:dyDescent="0.35">
      <c r="A9" s="5" t="s">
        <v>17</v>
      </c>
      <c r="B9" s="5" t="s">
        <v>82</v>
      </c>
      <c r="C9" s="6">
        <v>615</v>
      </c>
      <c r="D9" s="5">
        <f t="shared" si="0"/>
        <v>0</v>
      </c>
      <c r="E9" s="5">
        <v>615</v>
      </c>
      <c r="F9" s="5">
        <f t="shared" si="1"/>
        <v>0</v>
      </c>
      <c r="G9" s="5">
        <v>615</v>
      </c>
    </row>
    <row r="10" spans="1:7" x14ac:dyDescent="0.35">
      <c r="A10" s="3" t="s">
        <v>18</v>
      </c>
      <c r="B10" s="3" t="s">
        <v>20</v>
      </c>
      <c r="C10" s="4">
        <v>24186</v>
      </c>
      <c r="D10" s="3">
        <f t="shared" si="0"/>
        <v>4070</v>
      </c>
      <c r="E10" s="3">
        <v>28256</v>
      </c>
      <c r="F10" s="3">
        <f t="shared" si="1"/>
        <v>0</v>
      </c>
      <c r="G10" s="3">
        <v>28256</v>
      </c>
    </row>
    <row r="11" spans="1:7" x14ac:dyDescent="0.35">
      <c r="A11" s="5" t="s">
        <v>19</v>
      </c>
      <c r="B11" s="5" t="s">
        <v>22</v>
      </c>
      <c r="C11" s="6">
        <v>577</v>
      </c>
      <c r="D11" s="5">
        <f t="shared" si="0"/>
        <v>270</v>
      </c>
      <c r="E11" s="5">
        <v>847</v>
      </c>
      <c r="F11" s="5">
        <f t="shared" si="1"/>
        <v>423</v>
      </c>
      <c r="G11" s="5">
        <v>1270</v>
      </c>
    </row>
    <row r="12" spans="1:7" x14ac:dyDescent="0.35">
      <c r="A12" s="3" t="s">
        <v>21</v>
      </c>
      <c r="B12" s="3" t="s">
        <v>24</v>
      </c>
      <c r="C12" s="4">
        <v>24149</v>
      </c>
      <c r="D12" s="3">
        <f t="shared" si="0"/>
        <v>0</v>
      </c>
      <c r="E12" s="3">
        <v>24149</v>
      </c>
      <c r="F12" s="3">
        <f t="shared" si="1"/>
        <v>0</v>
      </c>
      <c r="G12" s="3">
        <v>24149</v>
      </c>
    </row>
    <row r="13" spans="1:7" x14ac:dyDescent="0.35">
      <c r="A13" s="5" t="s">
        <v>23</v>
      </c>
      <c r="B13" s="5" t="s">
        <v>26</v>
      </c>
      <c r="C13" s="6">
        <v>10819</v>
      </c>
      <c r="D13" s="5">
        <f t="shared" si="0"/>
        <v>555</v>
      </c>
      <c r="E13" s="5">
        <v>11374</v>
      </c>
      <c r="F13" s="5">
        <f t="shared" si="1"/>
        <v>0</v>
      </c>
      <c r="G13" s="5">
        <v>11374</v>
      </c>
    </row>
    <row r="14" spans="1:7" x14ac:dyDescent="0.35">
      <c r="A14" s="3" t="s">
        <v>25</v>
      </c>
      <c r="B14" s="3" t="s">
        <v>28</v>
      </c>
      <c r="C14" s="4">
        <v>1445</v>
      </c>
      <c r="D14" s="3">
        <f t="shared" si="0"/>
        <v>122</v>
      </c>
      <c r="E14" s="3">
        <v>1567</v>
      </c>
      <c r="F14" s="3">
        <f t="shared" si="1"/>
        <v>133</v>
      </c>
      <c r="G14" s="3">
        <v>1700</v>
      </c>
    </row>
    <row r="15" spans="1:7" x14ac:dyDescent="0.35">
      <c r="A15" s="5" t="s">
        <v>27</v>
      </c>
      <c r="B15" s="5" t="s">
        <v>30</v>
      </c>
      <c r="C15" s="6">
        <v>2384</v>
      </c>
      <c r="D15" s="5">
        <f t="shared" si="0"/>
        <v>945</v>
      </c>
      <c r="E15" s="5">
        <v>3329</v>
      </c>
      <c r="F15" s="5">
        <f t="shared" si="1"/>
        <v>122</v>
      </c>
      <c r="G15" s="5">
        <v>3451</v>
      </c>
    </row>
    <row r="16" spans="1:7" x14ac:dyDescent="0.35">
      <c r="A16" s="3" t="s">
        <v>29</v>
      </c>
      <c r="B16" s="3" t="s">
        <v>32</v>
      </c>
      <c r="C16" s="4">
        <v>7551</v>
      </c>
      <c r="D16" s="3">
        <f t="shared" si="0"/>
        <v>1181</v>
      </c>
      <c r="E16" s="3">
        <v>8732</v>
      </c>
      <c r="F16" s="3">
        <f t="shared" si="1"/>
        <v>911</v>
      </c>
      <c r="G16" s="3">
        <v>9643</v>
      </c>
    </row>
    <row r="17" spans="1:7" x14ac:dyDescent="0.35">
      <c r="A17" s="5" t="s">
        <v>31</v>
      </c>
      <c r="B17" s="5" t="s">
        <v>34</v>
      </c>
      <c r="C17" s="6">
        <v>34387</v>
      </c>
      <c r="D17" s="5">
        <f t="shared" si="0"/>
        <v>2169</v>
      </c>
      <c r="E17" s="5">
        <v>36556</v>
      </c>
      <c r="F17" s="5">
        <f t="shared" si="1"/>
        <v>0</v>
      </c>
      <c r="G17" s="5">
        <v>36556</v>
      </c>
    </row>
    <row r="18" spans="1:7" x14ac:dyDescent="0.35">
      <c r="A18" s="3" t="s">
        <v>33</v>
      </c>
      <c r="B18" s="3" t="s">
        <v>36</v>
      </c>
      <c r="C18" s="4">
        <v>2801</v>
      </c>
      <c r="D18" s="3">
        <f t="shared" si="0"/>
        <v>2</v>
      </c>
      <c r="E18" s="3">
        <v>2803</v>
      </c>
      <c r="F18" s="3">
        <f t="shared" si="1"/>
        <v>69</v>
      </c>
      <c r="G18" s="3">
        <v>2872</v>
      </c>
    </row>
    <row r="19" spans="1:7" x14ac:dyDescent="0.35">
      <c r="A19" s="5" t="s">
        <v>35</v>
      </c>
      <c r="B19" s="5" t="s">
        <v>78</v>
      </c>
      <c r="C19" s="6">
        <v>0</v>
      </c>
      <c r="D19" s="5">
        <f t="shared" si="0"/>
        <v>194</v>
      </c>
      <c r="E19" s="5">
        <v>194</v>
      </c>
      <c r="F19" s="5">
        <f t="shared" si="1"/>
        <v>0</v>
      </c>
      <c r="G19" s="5">
        <v>194</v>
      </c>
    </row>
    <row r="20" spans="1:7" x14ac:dyDescent="0.35">
      <c r="A20" s="3" t="s">
        <v>37</v>
      </c>
      <c r="B20" s="3" t="s">
        <v>38</v>
      </c>
      <c r="C20" s="4">
        <v>18251</v>
      </c>
      <c r="D20" s="3">
        <f t="shared" si="0"/>
        <v>1481</v>
      </c>
      <c r="E20" s="3">
        <v>19732</v>
      </c>
      <c r="F20" s="3">
        <f t="shared" si="1"/>
        <v>10135</v>
      </c>
      <c r="G20" s="3">
        <v>29867</v>
      </c>
    </row>
    <row r="21" spans="1:7" x14ac:dyDescent="0.35">
      <c r="A21" s="5" t="s">
        <v>39</v>
      </c>
      <c r="B21" s="5" t="s">
        <v>40</v>
      </c>
      <c r="C21" s="6">
        <v>166465</v>
      </c>
      <c r="D21" s="5">
        <f t="shared" si="0"/>
        <v>0</v>
      </c>
      <c r="E21" s="5">
        <v>166465</v>
      </c>
      <c r="F21" s="5">
        <f t="shared" si="1"/>
        <v>0</v>
      </c>
      <c r="G21" s="5">
        <v>166465</v>
      </c>
    </row>
    <row r="22" spans="1:7" x14ac:dyDescent="0.35">
      <c r="A22" s="3" t="s">
        <v>41</v>
      </c>
      <c r="B22" s="3" t="s">
        <v>42</v>
      </c>
      <c r="C22" s="4">
        <v>443</v>
      </c>
      <c r="D22" s="3">
        <f t="shared" si="0"/>
        <v>69</v>
      </c>
      <c r="E22" s="3">
        <v>512</v>
      </c>
      <c r="F22" s="3">
        <f t="shared" si="1"/>
        <v>69</v>
      </c>
      <c r="G22" s="3">
        <v>581</v>
      </c>
    </row>
    <row r="23" spans="1:7" x14ac:dyDescent="0.35">
      <c r="A23" s="5" t="s">
        <v>43</v>
      </c>
      <c r="B23" s="5" t="s">
        <v>44</v>
      </c>
      <c r="C23" s="6">
        <v>152</v>
      </c>
      <c r="D23" s="5">
        <f t="shared" si="0"/>
        <v>0</v>
      </c>
      <c r="E23" s="5">
        <v>152</v>
      </c>
      <c r="F23" s="5">
        <f t="shared" si="1"/>
        <v>0</v>
      </c>
      <c r="G23" s="5">
        <v>152</v>
      </c>
    </row>
    <row r="24" spans="1:7" x14ac:dyDescent="0.35">
      <c r="A24" s="3" t="s">
        <v>45</v>
      </c>
      <c r="B24" s="3" t="s">
        <v>46</v>
      </c>
      <c r="C24" s="4">
        <v>188</v>
      </c>
      <c r="D24" s="3">
        <f t="shared" si="0"/>
        <v>393</v>
      </c>
      <c r="E24" s="3">
        <v>581</v>
      </c>
      <c r="F24" s="3">
        <f t="shared" si="1"/>
        <v>743</v>
      </c>
      <c r="G24" s="3">
        <v>1324</v>
      </c>
    </row>
    <row r="25" spans="1:7" x14ac:dyDescent="0.35">
      <c r="A25" s="5" t="s">
        <v>47</v>
      </c>
      <c r="B25" s="5" t="s">
        <v>48</v>
      </c>
      <c r="C25" s="6">
        <v>235</v>
      </c>
      <c r="D25" s="5">
        <f t="shared" si="0"/>
        <v>0</v>
      </c>
      <c r="E25" s="5">
        <v>235</v>
      </c>
      <c r="F25" s="5">
        <f t="shared" si="1"/>
        <v>3</v>
      </c>
      <c r="G25" s="5">
        <v>238</v>
      </c>
    </row>
    <row r="26" spans="1:7" x14ac:dyDescent="0.35">
      <c r="A26" s="3" t="s">
        <v>49</v>
      </c>
      <c r="B26" s="3" t="s">
        <v>50</v>
      </c>
      <c r="C26" s="4">
        <v>9072</v>
      </c>
      <c r="D26" s="3">
        <f t="shared" si="0"/>
        <v>2927</v>
      </c>
      <c r="E26" s="3">
        <v>11999</v>
      </c>
      <c r="F26" s="3">
        <f t="shared" si="1"/>
        <v>212</v>
      </c>
      <c r="G26" s="3">
        <v>12211</v>
      </c>
    </row>
    <row r="27" spans="1:7" x14ac:dyDescent="0.35">
      <c r="A27" s="5" t="s">
        <v>51</v>
      </c>
      <c r="B27" s="5" t="s">
        <v>52</v>
      </c>
      <c r="C27" s="6">
        <v>466</v>
      </c>
      <c r="D27" s="5">
        <f t="shared" si="0"/>
        <v>370</v>
      </c>
      <c r="E27" s="5">
        <v>836</v>
      </c>
      <c r="F27" s="5">
        <f t="shared" si="1"/>
        <v>0</v>
      </c>
      <c r="G27" s="5">
        <v>836</v>
      </c>
    </row>
    <row r="28" spans="1:7" x14ac:dyDescent="0.35">
      <c r="A28" s="3" t="s">
        <v>53</v>
      </c>
      <c r="B28" s="3" t="s">
        <v>54</v>
      </c>
      <c r="C28" s="4">
        <v>10775</v>
      </c>
      <c r="D28" s="3">
        <f t="shared" si="0"/>
        <v>613</v>
      </c>
      <c r="E28" s="3">
        <v>11388</v>
      </c>
      <c r="F28" s="3">
        <f t="shared" si="1"/>
        <v>134</v>
      </c>
      <c r="G28" s="3">
        <v>11522</v>
      </c>
    </row>
    <row r="29" spans="1:7" x14ac:dyDescent="0.35">
      <c r="A29" s="5" t="s">
        <v>55</v>
      </c>
      <c r="B29" s="5" t="s">
        <v>56</v>
      </c>
      <c r="C29" s="6">
        <v>23147</v>
      </c>
      <c r="D29" s="5">
        <f t="shared" si="0"/>
        <v>8153</v>
      </c>
      <c r="E29" s="5">
        <v>31300</v>
      </c>
      <c r="F29" s="5">
        <f t="shared" si="1"/>
        <v>0</v>
      </c>
      <c r="G29" s="5">
        <v>31300</v>
      </c>
    </row>
    <row r="30" spans="1:7" x14ac:dyDescent="0.35">
      <c r="A30" s="3" t="s">
        <v>57</v>
      </c>
      <c r="B30" s="3" t="s">
        <v>58</v>
      </c>
      <c r="C30" s="4">
        <v>163</v>
      </c>
      <c r="D30" s="3">
        <f t="shared" si="0"/>
        <v>0</v>
      </c>
      <c r="E30" s="3">
        <v>163</v>
      </c>
      <c r="F30" s="3">
        <f t="shared" si="1"/>
        <v>105</v>
      </c>
      <c r="G30" s="3">
        <v>268</v>
      </c>
    </row>
    <row r="31" spans="1:7" x14ac:dyDescent="0.35">
      <c r="A31" s="5" t="s">
        <v>59</v>
      </c>
      <c r="B31" s="5" t="s">
        <v>60</v>
      </c>
      <c r="C31" s="6">
        <v>89648</v>
      </c>
      <c r="D31" s="5">
        <f t="shared" si="0"/>
        <v>3096</v>
      </c>
      <c r="E31" s="5">
        <v>92744</v>
      </c>
      <c r="F31" s="5">
        <f t="shared" si="1"/>
        <v>0</v>
      </c>
      <c r="G31" s="5">
        <v>92744</v>
      </c>
    </row>
    <row r="32" spans="1:7" x14ac:dyDescent="0.35">
      <c r="A32" s="3" t="s">
        <v>61</v>
      </c>
      <c r="B32" s="3" t="s">
        <v>62</v>
      </c>
      <c r="C32" s="4">
        <v>6000</v>
      </c>
      <c r="D32" s="3">
        <f t="shared" si="0"/>
        <v>4209</v>
      </c>
      <c r="E32" s="3">
        <v>10209</v>
      </c>
      <c r="F32" s="3">
        <f t="shared" si="1"/>
        <v>5256</v>
      </c>
      <c r="G32" s="3">
        <v>15465</v>
      </c>
    </row>
    <row r="33" spans="1:7" x14ac:dyDescent="0.35">
      <c r="A33" s="5" t="s">
        <v>63</v>
      </c>
      <c r="B33" s="5" t="s">
        <v>64</v>
      </c>
      <c r="C33" s="6">
        <v>883</v>
      </c>
      <c r="D33" s="5">
        <f t="shared" si="0"/>
        <v>190</v>
      </c>
      <c r="E33" s="5">
        <v>1073</v>
      </c>
      <c r="F33" s="5">
        <f t="shared" si="1"/>
        <v>16</v>
      </c>
      <c r="G33" s="5">
        <v>1089</v>
      </c>
    </row>
    <row r="34" spans="1:7" x14ac:dyDescent="0.35">
      <c r="A34" s="3" t="s">
        <v>65</v>
      </c>
      <c r="B34" s="3" t="s">
        <v>66</v>
      </c>
      <c r="C34" s="4">
        <v>62490</v>
      </c>
      <c r="D34" s="3">
        <f t="shared" si="0"/>
        <v>6802</v>
      </c>
      <c r="E34" s="3">
        <v>69292</v>
      </c>
      <c r="F34" s="3">
        <f t="shared" si="1"/>
        <v>1078</v>
      </c>
      <c r="G34" s="3">
        <v>70370</v>
      </c>
    </row>
    <row r="35" spans="1:7" x14ac:dyDescent="0.35">
      <c r="A35" s="5" t="s">
        <v>67</v>
      </c>
      <c r="B35" s="5" t="s">
        <v>68</v>
      </c>
      <c r="C35" s="6">
        <v>4547</v>
      </c>
      <c r="D35" s="5">
        <f t="shared" si="0"/>
        <v>95</v>
      </c>
      <c r="E35" s="5">
        <v>4642</v>
      </c>
      <c r="F35" s="5">
        <f t="shared" si="1"/>
        <v>52</v>
      </c>
      <c r="G35" s="5">
        <v>4694</v>
      </c>
    </row>
    <row r="36" spans="1:7" x14ac:dyDescent="0.35">
      <c r="A36" s="16" t="s">
        <v>69</v>
      </c>
      <c r="B36" s="16" t="s">
        <v>70</v>
      </c>
      <c r="C36" s="17">
        <v>299</v>
      </c>
      <c r="D36" s="16">
        <f t="shared" si="0"/>
        <v>5447</v>
      </c>
      <c r="E36" s="16">
        <v>5746</v>
      </c>
      <c r="F36" s="16">
        <f t="shared" si="1"/>
        <v>0</v>
      </c>
      <c r="G36" s="16">
        <v>5746</v>
      </c>
    </row>
    <row r="37" spans="1:7" x14ac:dyDescent="0.35">
      <c r="A37" s="11"/>
      <c r="B37" s="5"/>
      <c r="C37" s="6"/>
      <c r="D37" s="5"/>
      <c r="E37" s="5"/>
      <c r="F37" s="5"/>
      <c r="G37" s="5"/>
    </row>
  </sheetData>
  <pageMargins left="0.7" right="0.7" top="0.75" bottom="0.75" header="0.3" footer="0.3"/>
  <legacy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DEE91E-D3FF-4AD2-8F66-0F06C8398817}">
  <dimension ref="D29"/>
  <sheetViews>
    <sheetView showGridLines="0" tabSelected="1" zoomScale="37" zoomScaleNormal="38" workbookViewId="0">
      <selection activeCell="AN19" sqref="AN19"/>
    </sheetView>
  </sheetViews>
  <sheetFormatPr defaultRowHeight="14.5" x14ac:dyDescent="0.35"/>
  <cols>
    <col min="1" max="3" width="8.7265625" style="7"/>
    <col min="4" max="4" width="42.7265625" style="7" bestFit="1" customWidth="1"/>
    <col min="5" max="16384" width="8.7265625" style="7"/>
  </cols>
  <sheetData>
    <row r="29" spans="4:4" x14ac:dyDescent="0.35">
      <c r="D29"/>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661FD2-1D8C-45C3-AEB8-091C88059A52}">
  <dimension ref="A1:A16"/>
  <sheetViews>
    <sheetView workbookViewId="0">
      <selection activeCell="A16" sqref="A16"/>
    </sheetView>
  </sheetViews>
  <sheetFormatPr defaultRowHeight="14.5" x14ac:dyDescent="0.35"/>
  <cols>
    <col min="1" max="1" width="41.26953125" bestFit="1" customWidth="1"/>
  </cols>
  <sheetData>
    <row r="1" spans="1:1" x14ac:dyDescent="0.35">
      <c r="A1" s="15" t="s">
        <v>98</v>
      </c>
    </row>
    <row r="2" spans="1:1" x14ac:dyDescent="0.35">
      <c r="A2" t="s">
        <v>100</v>
      </c>
    </row>
    <row r="3" spans="1:1" x14ac:dyDescent="0.35">
      <c r="A3" t="s">
        <v>99</v>
      </c>
    </row>
    <row r="4" spans="1:1" x14ac:dyDescent="0.35">
      <c r="A4" t="s">
        <v>94</v>
      </c>
    </row>
    <row r="5" spans="1:1" x14ac:dyDescent="0.35">
      <c r="A5" t="s">
        <v>95</v>
      </c>
    </row>
    <row r="6" spans="1:1" x14ac:dyDescent="0.35">
      <c r="A6" t="s">
        <v>96</v>
      </c>
    </row>
    <row r="16" spans="1:1" x14ac:dyDescent="0.35">
      <c r="A16" t="s">
        <v>101</v>
      </c>
    </row>
  </sheetData>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A2F864B-CA73-4032-81A9-8C4A723F297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Data2019</vt:lpstr>
      <vt:lpstr>Data2020</vt:lpstr>
      <vt:lpstr>Data2021</vt:lpstr>
      <vt:lpstr>Data2023</vt:lpstr>
      <vt:lpstr>2021-Present</vt:lpstr>
      <vt:lpstr>2020-2021</vt:lpstr>
      <vt:lpstr>2019</vt:lpstr>
      <vt:lpstr>3_year_sum</vt:lpstr>
      <vt:lpstr>Main_Pivot</vt:lpstr>
      <vt:lpstr>Region</vt:lpstr>
      <vt:lpstr>State_Year</vt:lpstr>
      <vt:lpstr>Combined_Table</vt:lpstr>
      <vt:lpstr>DashBoard</vt:lpstr>
      <vt:lpstr>Sheet10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anuvanshika rana</dc:creator>
  <cp:lastModifiedBy>anuvanshika rana</cp:lastModifiedBy>
  <dcterms:created xsi:type="dcterms:W3CDTF">2026-06-09T13:45:56Z</dcterms:created>
  <dcterms:modified xsi:type="dcterms:W3CDTF">2026-06-10T18:02:51Z</dcterms:modified>
</cp:coreProperties>
</file>