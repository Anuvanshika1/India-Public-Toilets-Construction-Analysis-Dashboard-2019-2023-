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comments2.xml" ContentType="application/vnd.openxmlformats-officedocument.spreadsheetml.comments+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nuvanshika Rana\Downloads\"/>
    </mc:Choice>
  </mc:AlternateContent>
  <xr:revisionPtr revIDLastSave="0" documentId="13_ncr:1_{A1C1E567-CC1C-469E-B18D-0F74549E7078}" xr6:coauthVersionLast="47" xr6:coauthVersionMax="47" xr10:uidLastSave="{00000000-0000-0000-0000-000000000000}"/>
  <bookViews>
    <workbookView xWindow="-110" yWindow="-110" windowWidth="19420" windowHeight="11500" firstSheet="7" activeTab="12" xr2:uid="{D0861BA0-BB83-4395-8C45-0DF0B5217DBE}"/>
  </bookViews>
  <sheets>
    <sheet name="Data2019" sheetId="2" r:id="rId1"/>
    <sheet name="Data2020" sheetId="6" r:id="rId2"/>
    <sheet name="Data2021" sheetId="3" r:id="rId3"/>
    <sheet name="Data2023" sheetId="4" r:id="rId4"/>
    <sheet name="2021-Present" sheetId="19" r:id="rId5"/>
    <sheet name="2020-2021" sheetId="17" r:id="rId6"/>
    <sheet name="2019" sheetId="16" r:id="rId7"/>
    <sheet name="3_year_sum" sheetId="20" r:id="rId8"/>
    <sheet name="Main_Pivot" sheetId="24" r:id="rId9"/>
    <sheet name="Region" sheetId="27" r:id="rId10"/>
    <sheet name="State_Year" sheetId="23" r:id="rId11"/>
    <sheet name="Combined_Table" sheetId="8" r:id="rId12"/>
    <sheet name="DashBoard" sheetId="5" r:id="rId13"/>
    <sheet name="Sheet10" sheetId="14" state="hidden" r:id="rId14"/>
  </sheets>
  <definedNames>
    <definedName name="_xlchart.v5.0" hidden="1">Main_Pivot!$C$3</definedName>
    <definedName name="_xlchart.v5.1" hidden="1">Main_Pivot!$C$4:$C$38</definedName>
    <definedName name="_xlchart.v5.2" hidden="1">Main_Pivot!$D$3</definedName>
    <definedName name="_xlchart.v5.3" hidden="1">Main_Pivot!$D$4:$D$38</definedName>
    <definedName name="_xlchart.v5.4" hidden="1">Main_Pivot!$C$3</definedName>
    <definedName name="_xlchart.v5.5" hidden="1">Main_Pivot!$C$4:$C$38</definedName>
    <definedName name="_xlchart.v5.6" hidden="1">Main_Pivot!$D$3</definedName>
    <definedName name="_xlchart.v5.7" hidden="1">Main_Pivot!$D$4:$D$38</definedName>
    <definedName name="_xlcn.WorksheetConnection_Excel_dashboard.xlsxTable51" hidden="1">Table5[]</definedName>
    <definedName name="_xlcn.WorksheetConnection_Excel_dashboardRecovered.xlsxTable41" hidden="1">Table4</definedName>
    <definedName name="_xlcn.WorksheetConnection_Excel_dashboardversion2.xlsbTable61" hidden="1">Table6</definedName>
    <definedName name="_xlcn.WorksheetConnection_SumupA1G371" hidden="1">Combined_Table!$A$1:$G$37</definedName>
    <definedName name="_xlcn.WorksheetConnection_SumupB1C361" hidden="1">Combined_Table!$B$1:$C$36</definedName>
    <definedName name="ExternalData_1" localSheetId="0" hidden="1">Data2019!$A$1:$E$37</definedName>
    <definedName name="ExternalData_1" localSheetId="2" hidden="1">Data2021!$A$1:$F$37</definedName>
    <definedName name="ExternalData_1" localSheetId="3" hidden="1">Data2023!$A$1:$D$37</definedName>
    <definedName name="ExternalData_1" localSheetId="10" hidden="1">State_Year!$A$1:$E$176</definedName>
    <definedName name="Slicer_Select_The_year">#N/A</definedName>
    <definedName name="Slicer_State_UT">#N/A</definedName>
    <definedName name="Slicer_Years1">#N/A</definedName>
  </definedNames>
  <calcPr calcId="191029"/>
  <pivotCaches>
    <pivotCache cacheId="0" r:id="rId15"/>
    <pivotCache cacheId="1" r:id="rId16"/>
    <pivotCache cacheId="3" r:id="rId17"/>
    <pivotCache cacheId="4" r:id="rId18"/>
    <pivotCache cacheId="5" r:id="rId19"/>
    <pivotCache cacheId="9"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umup!$B$1:$C$36"/>
          <x15:modelTable id="Range" name="Range" connection="WorksheetConnection_Sumup!$A$1:$G$37"/>
          <x15:modelTable id="Table5" name="Table5" connection="WorksheetConnection_Excel_dashboard.xlsx!Table5"/>
          <x15:modelTable id="Table6" name="Table6" connection="WorksheetConnection_Excel_dashboard (version 2).xlsb!Table6"/>
          <x15:modelTable id="Table4" name="Table4" connection="WorksheetConnection_Excel_dashboard (Recovered).xlsx!Table4"/>
        </x15:modelTables>
        <x15:modelRelationships>
          <x15:modelRelationship fromTable="Range" fromColumn="State/UT" toTable="Range 1" toColumn="State/U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B11" i="20"/>
  <c r="B10" i="20"/>
  <c r="B9" i="20"/>
  <c r="D5" i="27"/>
  <c r="D6" i="27"/>
  <c r="D7" i="27"/>
  <c r="D8" i="27"/>
  <c r="D9" i="27"/>
  <c r="D10" i="27"/>
  <c r="D11" i="27"/>
  <c r="D12" i="27"/>
  <c r="C5" i="27"/>
  <c r="C6" i="27"/>
  <c r="C7" i="27"/>
  <c r="C8" i="27"/>
  <c r="C9" i="27"/>
  <c r="C10" i="27"/>
  <c r="C11" i="27"/>
  <c r="C12" i="27"/>
  <c r="D4" i="27"/>
  <c r="C4" i="27"/>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D4" i="24"/>
  <c r="C4" i="24"/>
  <c r="F36" i="8"/>
  <c r="D36" i="8"/>
  <c r="F35" i="8"/>
  <c r="D35" i="8"/>
  <c r="F34" i="8"/>
  <c r="D34" i="8"/>
  <c r="F33" i="8"/>
  <c r="D33" i="8"/>
  <c r="F32" i="8"/>
  <c r="D32" i="8"/>
  <c r="F31" i="8"/>
  <c r="D31" i="8"/>
  <c r="F30" i="8"/>
  <c r="D30" i="8"/>
  <c r="F29" i="8"/>
  <c r="D29" i="8"/>
  <c r="F28" i="8"/>
  <c r="D28" i="8"/>
  <c r="F27" i="8"/>
  <c r="D27" i="8"/>
  <c r="F26" i="8"/>
  <c r="D26" i="8"/>
  <c r="F25" i="8"/>
  <c r="D25" i="8"/>
  <c r="F24" i="8"/>
  <c r="D24" i="8"/>
  <c r="F23" i="8"/>
  <c r="D23" i="8"/>
  <c r="F22" i="8"/>
  <c r="D22" i="8"/>
  <c r="F21" i="8"/>
  <c r="D21" i="8"/>
  <c r="F20" i="8"/>
  <c r="D20" i="8"/>
  <c r="F19" i="8"/>
  <c r="D19" i="8"/>
  <c r="F18" i="8"/>
  <c r="D18" i="8"/>
  <c r="F17" i="8"/>
  <c r="D17" i="8"/>
  <c r="F16" i="8"/>
  <c r="D16" i="8"/>
  <c r="F15" i="8"/>
  <c r="D15" i="8"/>
  <c r="F14" i="8"/>
  <c r="D14" i="8"/>
  <c r="F13" i="8"/>
  <c r="D13" i="8"/>
  <c r="F12" i="8"/>
  <c r="D12" i="8"/>
  <c r="F11" i="8"/>
  <c r="D11" i="8"/>
  <c r="F10" i="8"/>
  <c r="D10" i="8"/>
  <c r="F9" i="8"/>
  <c r="D9" i="8"/>
  <c r="F8" i="8"/>
  <c r="D8" i="8"/>
  <c r="F7" i="8"/>
  <c r="D7" i="8"/>
  <c r="F6" i="8"/>
  <c r="D6" i="8"/>
  <c r="F5" i="8"/>
  <c r="D5" i="8"/>
  <c r="F4" i="8"/>
  <c r="D4" i="8"/>
  <c r="F3" i="8"/>
  <c r="D3" i="8"/>
  <c r="F2" i="8"/>
  <c r="D2" i="8"/>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Anuvanshika Rana</author>
  </authors>
  <commentList>
    <comment ref="D19" authorId="0" shapeId="0" xr:uid="{F9F7A48C-D20F-4EB4-982F-2947FCA68892}">
      <text>
        <r>
          <rPr>
            <b/>
            <sz val="9"/>
            <color indexed="81"/>
            <rFont val="Tahoma"/>
            <charset val="1"/>
          </rPr>
          <t>Anuvanshika Rana:</t>
        </r>
        <r>
          <rPr>
            <sz val="9"/>
            <color indexed="81"/>
            <rFont val="Tahoma"/>
            <charset val="1"/>
          </rPr>
          <t xml:space="preserve">
In 2019, Ladakh details were calculated under J&amp;K only, Ladakh became separate Territory After January 2020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Anuvanshika Rana</author>
  </authors>
  <commentList>
    <comment ref="C19" authorId="0" shapeId="0" xr:uid="{994DDDCD-F8C5-4801-9425-60114998D2EF}">
      <text>
        <r>
          <rPr>
            <b/>
            <sz val="9"/>
            <color indexed="81"/>
            <rFont val="Tahoma"/>
            <charset val="1"/>
          </rPr>
          <t>Anuvanshika Rana:</t>
        </r>
        <r>
          <rPr>
            <sz val="9"/>
            <color indexed="81"/>
            <rFont val="Tahoma"/>
            <charset val="1"/>
          </rPr>
          <t xml:space="preserve">
In 2019, Ladakh details were calculated under J&amp;K only, Ladakh became separate Territory After January 2020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F7E5A9-8CD0-42EC-9E70-C9565C0E2DF6}" keepAlive="1" name="Query - Data2019" description="Connection to the 'Data2019' query in the workbook." type="5" refreshedVersion="8" background="1" saveData="1">
    <dbPr connection="Provider=Microsoft.Mashup.OleDb.1;Data Source=$Workbook$;Location=Data2019;Extended Properties=&quot;&quot;" command="SELECT * FROM [Data2019]"/>
  </connection>
  <connection id="2" xr16:uid="{DD8A89CC-EB41-40E1-BEB4-89A205D695D9}" keepAlive="1" name="Query - Data2021" description="Connection to the 'Data2021' query in the workbook." type="5" refreshedVersion="8" background="1" saveData="1">
    <dbPr connection="Provider=Microsoft.Mashup.OleDb.1;Data Source=$Workbook$;Location=Data2021;Extended Properties=&quot;&quot;" command="SELECT * FROM [Data2021]"/>
  </connection>
  <connection id="3" xr16:uid="{8732D781-273E-4695-B2FD-E558430BEC31}" keepAlive="1" name="Query - Data2023" description="Connection to the 'Data2023' query in the workbook." type="5" refreshedVersion="8" background="1" saveData="1">
    <dbPr connection="Provider=Microsoft.Mashup.OleDb.1;Data Source=$Workbook$;Location=Data2023;Extended Properties=&quot;&quot;" command="SELECT * FROM [Data2023]"/>
  </connection>
  <connection id="4" xr16:uid="{B86A680B-776C-464A-A9BB-1A55F5C5A7AD}"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5" xr16:uid="{1AF34AAE-0BC6-436A-8248-E4A7BECDF777}" keepAlive="1" name="Query - Table7 (2)" description="Connection to the 'Table7 (2)' query in the workbook." type="5" refreshedVersion="8" background="1" saveData="1">
    <dbPr connection="Provider=Microsoft.Mashup.OleDb.1;Data Source=$Workbook$;Location=&quot;Table7 (2)&quot;;Extended Properties=&quot;&quot;" command="SELECT * FROM [Table7 (2)]"/>
  </connection>
  <connection id="6" xr16:uid="{E9E928DB-051F-4C16-A5F8-7A7C4CA148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E095AA2-8656-4733-8000-9D72EE24178A}" name="WorksheetConnection_Excel_dashboard (Recovered).xlsx!Table4" type="102" refreshedVersion="8" minRefreshableVersion="5">
    <extLst>
      <ext xmlns:x15="http://schemas.microsoft.com/office/spreadsheetml/2010/11/main" uri="{DE250136-89BD-433C-8126-D09CA5730AF9}">
        <x15:connection id="Table4" autoDelete="1">
          <x15:rangePr sourceName="_xlcn.WorksheetConnection_Excel_dashboardRecovered.xlsxTable41"/>
        </x15:connection>
      </ext>
    </extLst>
  </connection>
  <connection id="8" xr16:uid="{0044CB1B-5453-401C-9BE5-76EF9D436EF3}" name="WorksheetConnection_Excel_dashboard (version 2).xlsb!Table6" type="102" refreshedVersion="8" minRefreshableVersion="5">
    <extLst>
      <ext xmlns:x15="http://schemas.microsoft.com/office/spreadsheetml/2010/11/main" uri="{DE250136-89BD-433C-8126-D09CA5730AF9}">
        <x15:connection id="Table6" autoDelete="1">
          <x15:rangePr sourceName="_xlcn.WorksheetConnection_Excel_dashboardversion2.xlsbTable61"/>
        </x15:connection>
      </ext>
    </extLst>
  </connection>
  <connection id="9" xr16:uid="{541F735B-35B5-4E2E-969F-63DB4DA851F5}" name="WorksheetConnection_Excel_dashboard.xlsx!Table5" type="102" refreshedVersion="8" minRefreshableVersion="5">
    <extLst>
      <ext xmlns:x15="http://schemas.microsoft.com/office/spreadsheetml/2010/11/main" uri="{DE250136-89BD-433C-8126-D09CA5730AF9}">
        <x15:connection id="Table5">
          <x15:rangePr sourceName="_xlcn.WorksheetConnection_Excel_dashboard.xlsxTable51"/>
        </x15:connection>
      </ext>
    </extLst>
  </connection>
  <connection id="10" xr16:uid="{B0E21614-72D8-4B09-B9F2-607A909A3E66}" name="WorksheetConnection_Sumup!$A$1:$G$37" type="102" refreshedVersion="8" minRefreshableVersion="5">
    <extLst>
      <ext xmlns:x15="http://schemas.microsoft.com/office/spreadsheetml/2010/11/main" uri="{DE250136-89BD-433C-8126-D09CA5730AF9}">
        <x15:connection id="Range" autoDelete="1">
          <x15:rangePr sourceName="_xlcn.WorksheetConnection_SumupA1G371"/>
        </x15:connection>
      </ext>
    </extLst>
  </connection>
  <connection id="11" xr16:uid="{28C1A70C-B729-4C74-AB53-80AEDFA266ED}" name="WorksheetConnection_Sumup!$B$1:$C$36" type="102" refreshedVersion="8" minRefreshableVersion="5">
    <extLst>
      <ext xmlns:x15="http://schemas.microsoft.com/office/spreadsheetml/2010/11/main" uri="{DE250136-89BD-433C-8126-D09CA5730AF9}">
        <x15:connection id="Range 1" autoDelete="1">
          <x15:rangePr sourceName="_xlcn.WorksheetConnection_SumupB1C361"/>
        </x15:connection>
      </ext>
    </extLst>
  </connection>
</connections>
</file>

<file path=xl/sharedStrings.xml><?xml version="1.0" encoding="utf-8"?>
<sst xmlns="http://schemas.openxmlformats.org/spreadsheetml/2006/main" count="1012" uniqueCount="133">
  <si>
    <t>S.No.</t>
  </si>
  <si>
    <t>State/UT</t>
  </si>
  <si>
    <t>CT/PT Constructed (Seats)</t>
  </si>
  <si>
    <t>1</t>
  </si>
  <si>
    <t>Andhra Pradesh</t>
  </si>
  <si>
    <t>2</t>
  </si>
  <si>
    <t>Andaman and Nicobar</t>
  </si>
  <si>
    <t>3</t>
  </si>
  <si>
    <t>Arunachal Pradesh</t>
  </si>
  <si>
    <t>4</t>
  </si>
  <si>
    <t>Assam</t>
  </si>
  <si>
    <t>5</t>
  </si>
  <si>
    <t>Bihar</t>
  </si>
  <si>
    <t>6</t>
  </si>
  <si>
    <t>Chandigarh</t>
  </si>
  <si>
    <t>7</t>
  </si>
  <si>
    <t>Chhattisgarh</t>
  </si>
  <si>
    <t>8</t>
  </si>
  <si>
    <t>9</t>
  </si>
  <si>
    <t>10</t>
  </si>
  <si>
    <t>Delhi</t>
  </si>
  <si>
    <t>11</t>
  </si>
  <si>
    <t>Goa</t>
  </si>
  <si>
    <t>12</t>
  </si>
  <si>
    <t>Gujarat</t>
  </si>
  <si>
    <t>13</t>
  </si>
  <si>
    <t>Haryana</t>
  </si>
  <si>
    <t>14</t>
  </si>
  <si>
    <t>Himachal Pradesh</t>
  </si>
  <si>
    <t>15</t>
  </si>
  <si>
    <t>Jammu and Kashmir</t>
  </si>
  <si>
    <t>16</t>
  </si>
  <si>
    <t>Jharkhand</t>
  </si>
  <si>
    <t>17</t>
  </si>
  <si>
    <t>Karnataka</t>
  </si>
  <si>
    <t>18</t>
  </si>
  <si>
    <t>Kerala</t>
  </si>
  <si>
    <t>19</t>
  </si>
  <si>
    <t>Madhya Pradesh</t>
  </si>
  <si>
    <t>20</t>
  </si>
  <si>
    <t>Maharashtra</t>
  </si>
  <si>
    <t>21</t>
  </si>
  <si>
    <t>Manipur</t>
  </si>
  <si>
    <t>22</t>
  </si>
  <si>
    <t>Meghalaya</t>
  </si>
  <si>
    <t>23</t>
  </si>
  <si>
    <t>Mizoram</t>
  </si>
  <si>
    <t>24</t>
  </si>
  <si>
    <t>Nagaland</t>
  </si>
  <si>
    <t>25</t>
  </si>
  <si>
    <t>Odisha</t>
  </si>
  <si>
    <t>26</t>
  </si>
  <si>
    <t>Puducherry</t>
  </si>
  <si>
    <t>27</t>
  </si>
  <si>
    <t>Punjab</t>
  </si>
  <si>
    <t>28</t>
  </si>
  <si>
    <t>Rajasthan</t>
  </si>
  <si>
    <t>29</t>
  </si>
  <si>
    <t>Sikkim</t>
  </si>
  <si>
    <t>30</t>
  </si>
  <si>
    <t>Tamil Nadu</t>
  </si>
  <si>
    <t>31</t>
  </si>
  <si>
    <t>Telangana</t>
  </si>
  <si>
    <t>32</t>
  </si>
  <si>
    <t>Tripura</t>
  </si>
  <si>
    <t>33</t>
  </si>
  <si>
    <t>Uttar Pradesh</t>
  </si>
  <si>
    <t>34</t>
  </si>
  <si>
    <t>Uttarakhand</t>
  </si>
  <si>
    <t>35</t>
  </si>
  <si>
    <t>West Bengal</t>
  </si>
  <si>
    <t>Total</t>
  </si>
  <si>
    <t>S.No</t>
  </si>
  <si>
    <t>States/ UTs</t>
  </si>
  <si>
    <t>Total No. of CT/PT Constructed till March 2021</t>
  </si>
  <si>
    <t>No. of CT/PT Constructed during April 2021 - March 2022</t>
  </si>
  <si>
    <t>Andaman and Nicobar Islands</t>
  </si>
  <si>
    <t>Dadra and Nagar Haveli and Daman and Diu</t>
  </si>
  <si>
    <t>Ladakh</t>
  </si>
  <si>
    <t>Sl. No.</t>
  </si>
  <si>
    <t>States/UT</t>
  </si>
  <si>
    <t xml:space="preserve">Total number of CT/PT constructed in 2019 </t>
  </si>
  <si>
    <t>Daman &amp; Diu and Dadra &amp; Nagra Haveli</t>
  </si>
  <si>
    <t>Total number of CT/PT constructed from 2020- March 2021</t>
  </si>
  <si>
    <t>Total CT/PT From April 2022-2023</t>
  </si>
  <si>
    <t>2021</t>
  </si>
  <si>
    <t xml:space="preserve"> Public Toilte seats (2019)</t>
  </si>
  <si>
    <t>Additional Seats (2020–Mar 2021)</t>
  </si>
  <si>
    <t>Cumulative Seats till Mar 2021</t>
  </si>
  <si>
    <t>Increase from Mar 2021 to Latest Available</t>
  </si>
  <si>
    <t>Cumulative Seats till 2023</t>
  </si>
  <si>
    <t>Row Labels</t>
  </si>
  <si>
    <t>Grand Total</t>
  </si>
  <si>
    <t>(blank)</t>
  </si>
  <si>
    <t>Sum of Cumulative Seats till Mar 2021</t>
  </si>
  <si>
    <t>Sum of Increase from Mar 2021 to Latest Available</t>
  </si>
  <si>
    <t>Sum of Cumulative Seats till 2023</t>
  </si>
  <si>
    <t>Sum of Public Toilte seats (2019)</t>
  </si>
  <si>
    <t>Select The year</t>
  </si>
  <si>
    <t>Sum of Additional Seats (2020-Mar 2021)</t>
  </si>
  <si>
    <t>Sum of  Public Toilet seats (2019)</t>
  </si>
  <si>
    <t>=IF(COUNTA(SlicerTable[Select The year])=5, "Sum of Public Toilte seats (2019)", CUBERANKEDMEMBER("ThisWorkbookDataModel", CUBESET("ThisWorkbookDataModel", SlicerTable[Select The year]), 1))</t>
  </si>
  <si>
    <t xml:space="preserve">Sum of TOP 5 </t>
  </si>
  <si>
    <t>2020-March 2021</t>
  </si>
  <si>
    <t>2021-Present</t>
  </si>
  <si>
    <t>Values</t>
  </si>
  <si>
    <t>Years</t>
  </si>
  <si>
    <t>Public Toilet Seats</t>
  </si>
  <si>
    <t>Sum of Public Toilet Seats</t>
  </si>
  <si>
    <t>(All)</t>
  </si>
  <si>
    <t>State</t>
  </si>
  <si>
    <t>Region</t>
  </si>
  <si>
    <t>South</t>
  </si>
  <si>
    <t>North-East</t>
  </si>
  <si>
    <t>East</t>
  </si>
  <si>
    <t>North</t>
  </si>
  <si>
    <t>Central</t>
  </si>
  <si>
    <t>West</t>
  </si>
  <si>
    <t>Total Seats</t>
  </si>
  <si>
    <t>Regions</t>
  </si>
  <si>
    <t>%age Increase</t>
  </si>
  <si>
    <t>Growth 2019-2021</t>
  </si>
  <si>
    <t>Growth 2021-2023</t>
  </si>
  <si>
    <t>Overall growth</t>
  </si>
  <si>
    <t>IHHL Constructed (Units)</t>
  </si>
  <si>
    <t>Funds Released (Rs. in Crores)</t>
  </si>
  <si>
    <t>Daman &amp; Diu</t>
  </si>
  <si>
    <t>Dadra &amp; Nagar Haveli</t>
  </si>
  <si>
    <t>Total No. of IHHLs Constructed till March 2021</t>
  </si>
  <si>
    <t>No. of IHHLs Constructed During April 2021 - March 2022</t>
  </si>
  <si>
    <t>Individual Household Toilets (in Nos)</t>
  </si>
  <si>
    <t>Total Community and Public Toilets (No. of Seats)</t>
  </si>
  <si>
    <t>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</si>
</sst>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8"/>
      <name val="Aptos Narrow"/>
      <family val="2"/>
      <scheme val="minor"/>
    </font>
    <font>
      <sz val="9"/>
      <color indexed="81"/>
      <name val="Tahoma"/>
      <charset val="1"/>
    </font>
    <font>
      <b/>
      <sz val="9"/>
      <color indexed="81"/>
      <name val="Tahoma"/>
      <charset val="1"/>
    </font>
    <font>
      <sz val="11"/>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rgb="FFDAF2D0"/>
        <bgColor rgb="FFDAF2D0"/>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rgb="FF8ED973"/>
      </top>
      <bottom style="thin">
        <color rgb="FF8ED973"/>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9" fontId="7" fillId="0" borderId="0" applyFont="0" applyFill="0" applyBorder="0" applyAlignment="0" applyProtection="0"/>
  </cellStyleXfs>
  <cellXfs count="20">
    <xf numFmtId="0" fontId="0" fillId="0" borderId="0" xfId="0"/>
    <xf numFmtId="0" fontId="1" fillId="2" borderId="1" xfId="0" applyFont="1" applyFill="1" applyBorder="1"/>
    <xf numFmtId="0" fontId="1" fillId="2" borderId="2" xfId="0" applyFont="1" applyFill="1" applyBorder="1"/>
    <xf numFmtId="0" fontId="0" fillId="3" borderId="2" xfId="0" applyFill="1" applyBorder="1"/>
    <xf numFmtId="0" fontId="0" fillId="3" borderId="3" xfId="0" applyFill="1" applyBorder="1"/>
    <xf numFmtId="0" fontId="0" fillId="0" borderId="2" xfId="0" applyBorder="1"/>
    <xf numFmtId="0" fontId="0" fillId="0" borderId="3" xfId="0" applyBorder="1"/>
    <xf numFmtId="0" fontId="0" fillId="4" borderId="0" xfId="0" applyFill="1"/>
    <xf numFmtId="0" fontId="3" fillId="5" borderId="4" xfId="0" applyFont="1" applyFill="1" applyBorder="1"/>
    <xf numFmtId="0" fontId="3" fillId="0" borderId="4" xfId="0" applyFont="1" applyBorder="1"/>
    <xf numFmtId="0" fontId="0" fillId="3" borderId="1" xfId="0" applyFill="1" applyBorder="1"/>
    <xf numFmtId="0" fontId="0" fillId="0" borderId="1" xfId="0" applyBorder="1"/>
    <xf numFmtId="0" fontId="1" fillId="2" borderId="0" xfId="0" applyFont="1" applyFill="1"/>
    <xf numFmtId="0" fontId="0" fillId="0" borderId="0" xfId="0" pivotButton="1"/>
    <xf numFmtId="0" fontId="0" fillId="0" borderId="0" xfId="0" applyAlignment="1">
      <alignment horizontal="left"/>
    </xf>
    <xf numFmtId="0" fontId="2" fillId="0" borderId="0" xfId="0" applyFont="1"/>
    <xf numFmtId="0" fontId="0" fillId="3" borderId="5" xfId="0" applyFill="1" applyBorder="1"/>
    <xf numFmtId="0" fontId="0" fillId="3" borderId="6" xfId="0" applyFill="1" applyBorder="1"/>
    <xf numFmtId="9" fontId="0" fillId="0" borderId="0" xfId="1" applyFont="1"/>
    <xf numFmtId="0" fontId="0" fillId="0" borderId="0" xfId="0" applyNumberFormat="1"/>
  </cellXfs>
  <cellStyles count="2">
    <cellStyle name="Normal" xfId="0" builtinId="0"/>
    <cellStyle name="Percent" xfId="1" builtinId="5"/>
  </cellStyles>
  <dxfs count="20">
    <dxf>
      <font>
        <b/>
        <i val="0"/>
        <strike val="0"/>
        <condense val="0"/>
        <extend val="0"/>
        <outline val="0"/>
        <shadow val="0"/>
        <u val="none"/>
        <vertAlign val="baseline"/>
        <sz val="11"/>
        <color theme="1"/>
        <name val="Aptos Narrow"/>
        <family val="2"/>
        <scheme val="minor"/>
      </font>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ttom style="thin">
          <color theme="9" tint="0.39997558519241921"/>
        </bottom>
      </border>
    </dxf>
    <dxf>
      <fill>
        <patternFill patternType="solid">
          <fgColor theme="9" tint="0.79998168889431442"/>
          <bgColor theme="9"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B4F8A"/>
      <color rgb="FFFF9800"/>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[Analysis_Public_Toilets_Dashboard.xlsx]2021-Present!PivotTable4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States 2021-Present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'2021-Present'!$B$3</c:f>
              <c:strCache>
                <c:ptCount val="1"/>
                <c:pt idx="0">
                  <c:v>Total</c:v>
                </c:pt>
              </c:strCache>
            </c:strRef>
          </c:tx>
          <c:spPr>
            <a:solidFill>
              <a:schemeClr val="accent1"/>
            </a:solidFill>
            <a:ln>
              <a:noFill/>
            </a:ln>
            <a:effectLst/>
          </c:spPr>
          <c:invertIfNegative val="0"/>
          <c:cat>
            <c:strRef>
              <c:f>'2021-Present'!$A$4:$A$9</c:f>
              <c:strCache>
                <c:ptCount val="5"/>
                <c:pt idx="0">
                  <c:v>Bihar</c:v>
                </c:pt>
                <c:pt idx="1">
                  <c:v>Jharkhand</c:v>
                </c:pt>
                <c:pt idx="2">
                  <c:v>Madhya Pradesh</c:v>
                </c:pt>
                <c:pt idx="3">
                  <c:v>Telangana</c:v>
                </c:pt>
                <c:pt idx="4">
                  <c:v>Uttar Pradesh</c:v>
                </c:pt>
              </c:strCache>
            </c:strRef>
          </c:cat>
          <c:val>
            <c:numRef>
              <c:f>'2021-Present'!$B$4:$B$9</c:f>
              <c:numCache>
                <c:formatCode>General</c:formatCode>
                <c:ptCount val="5"/>
                <c:pt idx="0">
                  <c:v>7799</c:v>
                </c:pt>
                <c:pt idx="1">
                  <c:v>911</c:v>
                </c:pt>
                <c:pt idx="2">
                  <c:v>10135</c:v>
                </c:pt>
                <c:pt idx="3">
                  <c:v>5256</c:v>
                </c:pt>
                <c:pt idx="4">
                  <c:v>1078</c:v>
                </c:pt>
              </c:numCache>
            </c:numRef>
          </c:val>
          <c:extLst>
            <c:ext xmlns:c16="http://schemas.microsoft.com/office/drawing/2014/chart" uri="{C3380CC4-5D6E-409C-BE32-E72D297353CC}">
              <c16:uniqueId val="{00000000-CC08-4DDE-ABEF-F746A53AC680}"/>
            </c:ext>
          </c:extLst>
        </c:ser>
        <c:dLbls>
          <c:showLegendKey val="0"/>
          <c:showVal val="0"/>
          <c:showCatName val="0"/>
          <c:showSerName val="0"/>
          <c:showPercent val="0"/>
          <c:showBubbleSize val="0"/>
        </c:dLbls>
        <c:gapWidth val="182"/>
        <c:axId val="720648032"/>
        <c:axId val="720636992"/>
      </c:barChart>
      <c:catAx>
        <c:axId val="720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36992"/>
        <c:crosses val="autoZero"/>
        <c:auto val="1"/>
        <c:lblAlgn val="ctr"/>
        <c:lblOffset val="100"/>
        <c:noMultiLvlLbl val="0"/>
      </c:catAx>
      <c:valAx>
        <c:axId val="72063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4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[Analysis_Public_Toilets_Dashboard.xlsx]2020-2021!PivotTable2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'2020-2021'!$B$3</c:f>
              <c:strCache>
                <c:ptCount val="1"/>
                <c:pt idx="0">
                  <c:v>Total</c:v>
                </c:pt>
              </c:strCache>
            </c:strRef>
          </c:tx>
          <c:spPr>
            <a:solidFill>
              <a:schemeClr val="accent1"/>
            </a:solidFill>
            <a:ln>
              <a:noFill/>
            </a:ln>
            <a:effectLst/>
          </c:spPr>
          <c:invertIfNegative val="0"/>
          <c:cat>
            <c:strRef>
              <c:f>'2020-2021'!$A$4:$A$9</c:f>
              <c:strCache>
                <c:ptCount val="5"/>
                <c:pt idx="0">
                  <c:v>Bihar</c:v>
                </c:pt>
                <c:pt idx="1">
                  <c:v>Rajasthan</c:v>
                </c:pt>
                <c:pt idx="2">
                  <c:v>Telangana</c:v>
                </c:pt>
                <c:pt idx="3">
                  <c:v>Uttar Pradesh</c:v>
                </c:pt>
                <c:pt idx="4">
                  <c:v>West Bengal</c:v>
                </c:pt>
              </c:strCache>
            </c:strRef>
          </c:cat>
          <c:val>
            <c:numRef>
              <c:f>'2020-2021'!$B$4:$B$9</c:f>
              <c:numCache>
                <c:formatCode>General</c:formatCode>
                <c:ptCount val="5"/>
                <c:pt idx="0">
                  <c:v>4754</c:v>
                </c:pt>
                <c:pt idx="1">
                  <c:v>8153</c:v>
                </c:pt>
                <c:pt idx="2">
                  <c:v>4209</c:v>
                </c:pt>
                <c:pt idx="3">
                  <c:v>6802</c:v>
                </c:pt>
                <c:pt idx="4">
                  <c:v>5447</c:v>
                </c:pt>
              </c:numCache>
            </c:numRef>
          </c:val>
          <c:extLst>
            <c:ext xmlns:c16="http://schemas.microsoft.com/office/drawing/2014/chart" uri="{C3380CC4-5D6E-409C-BE32-E72D297353CC}">
              <c16:uniqueId val="{00000000-CC00-4396-909E-D556462D33C6}"/>
            </c:ext>
          </c:extLst>
        </c:ser>
        <c:dLbls>
          <c:showLegendKey val="0"/>
          <c:showVal val="0"/>
          <c:showCatName val="0"/>
          <c:showSerName val="0"/>
          <c:showPercent val="0"/>
          <c:showBubbleSize val="0"/>
        </c:dLbls>
        <c:gapWidth val="182"/>
        <c:axId val="91975536"/>
        <c:axId val="91976496"/>
      </c:barChart>
      <c:catAx>
        <c:axId val="9197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6496"/>
        <c:crosses val="autoZero"/>
        <c:auto val="1"/>
        <c:lblAlgn val="ctr"/>
        <c:lblOffset val="100"/>
        <c:noMultiLvlLbl val="0"/>
      </c:catAx>
      <c:valAx>
        <c:axId val="9197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[Analysis_Public_Toilets_Dashboard.xlsx]2019!PivotTable1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States(2019)</a:t>
            </a:r>
            <a:endParaRPr lang="en-US"/>
          </a:p>
        </c:rich>
      </c:tx>
      <c:layout>
        <c:manualLayout>
          <c:xMode val="edge"/>
          <c:yMode val="edge"/>
          <c:x val="0.31318076729770483"/>
          <c:y val="8.4701049197494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'2019'!$B$4</c:f>
              <c:strCache>
                <c:ptCount val="1"/>
                <c:pt idx="0">
                  <c:v>Total</c:v>
                </c:pt>
              </c:strCache>
            </c:strRef>
          </c:tx>
          <c:spPr>
            <a:solidFill>
              <a:schemeClr val="accent1"/>
            </a:solidFill>
            <a:ln>
              <a:noFill/>
            </a:ln>
            <a:effectLst/>
          </c:spPr>
          <c:invertIfNegative val="0"/>
          <c:cat>
            <c:strRef>
              <c:f>'2019'!$A$5:$A$10</c:f>
              <c:strCache>
                <c:ptCount val="5"/>
                <c:pt idx="0">
                  <c:v>Uttar Pradesh</c:v>
                </c:pt>
                <c:pt idx="1">
                  <c:v>Tamil Nadu</c:v>
                </c:pt>
                <c:pt idx="2">
                  <c:v>Maharashtra</c:v>
                </c:pt>
                <c:pt idx="3">
                  <c:v>Karnataka</c:v>
                </c:pt>
                <c:pt idx="4">
                  <c:v>Delhi</c:v>
                </c:pt>
              </c:strCache>
            </c:strRef>
          </c:cat>
          <c:val>
            <c:numRef>
              <c:f>'2019'!$B$5:$B$10</c:f>
              <c:numCache>
                <c:formatCode>General</c:formatCode>
                <c:ptCount val="5"/>
                <c:pt idx="0">
                  <c:v>62490</c:v>
                </c:pt>
                <c:pt idx="1">
                  <c:v>89648</c:v>
                </c:pt>
                <c:pt idx="2">
                  <c:v>166465</c:v>
                </c:pt>
                <c:pt idx="3">
                  <c:v>34387</c:v>
                </c:pt>
                <c:pt idx="4">
                  <c:v>24186</c:v>
                </c:pt>
              </c:numCache>
            </c:numRef>
          </c:val>
          <c:extLst>
            <c:ext xmlns:c16="http://schemas.microsoft.com/office/drawing/2014/chart" uri="{C3380CC4-5D6E-409C-BE32-E72D297353CC}">
              <c16:uniqueId val="{00000002-EE59-4B2B-9661-5A142C1D1DFE}"/>
            </c:ext>
          </c:extLst>
        </c:ser>
        <c:dLbls>
          <c:showLegendKey val="0"/>
          <c:showVal val="0"/>
          <c:showCatName val="0"/>
          <c:showSerName val="0"/>
          <c:showPercent val="0"/>
          <c:showBubbleSize val="0"/>
        </c:dLbls>
        <c:gapWidth val="219"/>
        <c:overlap val="-27"/>
        <c:axId val="720613952"/>
        <c:axId val="720614912"/>
      </c:barChart>
      <c:catAx>
        <c:axId val="7206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14912"/>
        <c:crosses val="autoZero"/>
        <c:auto val="1"/>
        <c:lblAlgn val="ctr"/>
        <c:lblOffset val="100"/>
        <c:noMultiLvlLbl val="0"/>
      </c:catAx>
      <c:valAx>
        <c:axId val="72061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[Analysis_Public_Toilets_Dashboard.xlsx]3_year_sum!PivotTable5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Seats Built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'3_year_sum'!$B$3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'3_year_sum'!$A$4:$A$6</c:f>
              <c:strCache>
                <c:ptCount val="3"/>
                <c:pt idx="0">
                  <c:v>Sum of Public Toilte seats (2019)</c:v>
                </c:pt>
                <c:pt idx="1">
                  <c:v>Sum of Cumulative Seats till Mar 2021</c:v>
                </c:pt>
                <c:pt idx="2">
                  <c:v>Sum of Cumulative Seats till 2023</c:v>
                </c:pt>
              </c:strCache>
            </c:strRef>
          </c:cat>
          <c:val>
            <c:numRef>
              <c:f>'3_year_sum'!$B$4:$B$6</c:f>
              <c:numCache>
                <c:formatCode>General</c:formatCode>
                <c:ptCount val="3"/>
                <c:pt idx="0">
                  <c:v>561298</c:v>
                </c:pt>
                <c:pt idx="1">
                  <c:v>609509</c:v>
                </c:pt>
                <c:pt idx="2">
                  <c:v>636826</c:v>
                </c:pt>
              </c:numCache>
            </c:numRef>
          </c:val>
          <c:smooth val="0"/>
          <c:extLst>
            <c:ext xmlns:c16="http://schemas.microsoft.com/office/drawing/2014/chart" uri="{C3380CC4-5D6E-409C-BE32-E72D297353CC}">
              <c16:uniqueId val="{00000000-13B7-4927-B718-263A4D0D54B3}"/>
            </c:ext>
          </c:extLst>
        </c:ser>
        <c:dLbls>
          <c:dLblPos val="t"/>
          <c:showLegendKey val="0"/>
          <c:showVal val="1"/>
          <c:showCatName val="0"/>
          <c:showSerName val="0"/>
          <c:showPercent val="0"/>
          <c:showBubbleSize val="0"/>
        </c:dLbls>
        <c:smooth val="0"/>
        <c:axId val="1305606704"/>
        <c:axId val="1305614384"/>
      </c:lineChart>
      <c:catAx>
        <c:axId val="13056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14384"/>
        <c:crosses val="autoZero"/>
        <c:auto val="1"/>
        <c:lblAlgn val="ctr"/>
        <c:lblOffset val="100"/>
        <c:noMultiLvlLbl val="0"/>
      </c:catAx>
      <c:valAx>
        <c:axId val="130561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Region!$D$3</c:f>
              <c:strCache>
                <c:ptCount val="1"/>
                <c:pt idx="0">
                  <c:v>Total Seats</c:v>
                </c:pt>
              </c:strCache>
            </c:strRef>
          </c:tx>
          <c:spPr>
            <a:solidFill>
              <a:schemeClr val="accent1"/>
            </a:solidFill>
            <a:ln>
              <a:noFill/>
            </a:ln>
            <a:effectLst/>
          </c:spPr>
          <c:invertIfNegative val="0"/>
          <c:cat>
            <c:strRef>
              <c:f>Region!$C$4:$C$11</c:f>
              <c:strCache>
                <c:ptCount val="8"/>
                <c:pt idx="0">
                  <c:v>West</c:v>
                </c:pt>
                <c:pt idx="1">
                  <c:v>South</c:v>
                </c:pt>
                <c:pt idx="2">
                  <c:v>Central</c:v>
                </c:pt>
                <c:pt idx="3">
                  <c:v>North</c:v>
                </c:pt>
                <c:pt idx="4">
                  <c:v>East</c:v>
                </c:pt>
                <c:pt idx="5">
                  <c:v>North-East</c:v>
                </c:pt>
                <c:pt idx="6">
                  <c:v>Islands</c:v>
                </c:pt>
                <c:pt idx="7">
                  <c:v>(blank)</c:v>
                </c:pt>
              </c:strCache>
            </c:strRef>
          </c:cat>
          <c:val>
            <c:numRef>
              <c:f>Region!$D$4:$D$11</c:f>
              <c:numCache>
                <c:formatCode>General</c:formatCode>
                <c:ptCount val="8"/>
                <c:pt idx="0">
                  <c:v>575229</c:v>
                </c:pt>
                <c:pt idx="1">
                  <c:v>493489</c:v>
                </c:pt>
                <c:pt idx="2">
                  <c:v>345994</c:v>
                </c:pt>
                <c:pt idx="3">
                  <c:v>284568</c:v>
                </c:pt>
                <c:pt idx="4">
                  <c:v>159909</c:v>
                </c:pt>
                <c:pt idx="5">
                  <c:v>20306</c:v>
                </c:pt>
                <c:pt idx="6">
                  <c:v>3666</c:v>
                </c:pt>
                <c:pt idx="7">
                  <c:v>0</c:v>
                </c:pt>
              </c:numCache>
            </c:numRef>
          </c:val>
          <c:extLst>
            <c:ext xmlns:c16="http://schemas.microsoft.com/office/drawing/2014/chart" uri="{C3380CC4-5D6E-409C-BE32-E72D297353CC}">
              <c16:uniqueId val="{00000000-87A8-4435-B51A-0AB19325FA6E}"/>
            </c:ext>
          </c:extLst>
        </c:ser>
        <c:dLbls>
          <c:showLegendKey val="0"/>
          <c:showVal val="0"/>
          <c:showCatName val="0"/>
          <c:showSerName val="0"/>
          <c:showPercent val="0"/>
          <c:showBubbleSize val="0"/>
        </c:dLbls>
        <c:gapWidth val="219"/>
        <c:overlap val="-27"/>
        <c:axId val="91901136"/>
        <c:axId val="91896816"/>
      </c:barChart>
      <c:catAx>
        <c:axId val="9190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6816"/>
        <c:crosses val="autoZero"/>
        <c:auto val="1"/>
        <c:lblAlgn val="ctr"/>
        <c:lblOffset val="100"/>
        <c:noMultiLvlLbl val="0"/>
      </c:catAx>
      <c:valAx>
        <c:axId val="9189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1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[Analysis_Public_Toilets_Dashboard.xlsx]2019!PivotTable1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States By seats(2019)</a:t>
            </a:r>
            <a:endParaRPr lang="en-US" b="1"/>
          </a:p>
        </c:rich>
      </c:tx>
      <c:layout>
        <c:manualLayout>
          <c:xMode val="edge"/>
          <c:yMode val="edge"/>
          <c:x val="0.30659342055816874"/>
          <c:y val="2.88004136352925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'2019'!$B$4</c:f>
              <c:strCache>
                <c:ptCount val="1"/>
                <c:pt idx="0">
                  <c:v>Total</c:v>
                </c:pt>
              </c:strCache>
            </c:strRef>
          </c:tx>
          <c:spPr>
            <a:solidFill>
              <a:schemeClr val="accent1"/>
            </a:solidFill>
            <a:ln>
              <a:noFill/>
            </a:ln>
            <a:effectLst/>
          </c:spPr>
          <c:invertIfNegative val="0"/>
          <c:cat>
            <c:strRef>
              <c:f>'2019'!$A$5:$A$10</c:f>
              <c:strCache>
                <c:ptCount val="5"/>
                <c:pt idx="0">
                  <c:v>Uttar Pradesh</c:v>
                </c:pt>
                <c:pt idx="1">
                  <c:v>Tamil Nadu</c:v>
                </c:pt>
                <c:pt idx="2">
                  <c:v>Maharashtra</c:v>
                </c:pt>
                <c:pt idx="3">
                  <c:v>Karnataka</c:v>
                </c:pt>
                <c:pt idx="4">
                  <c:v>Delhi</c:v>
                </c:pt>
              </c:strCache>
            </c:strRef>
          </c:cat>
          <c:val>
            <c:numRef>
              <c:f>'2019'!$B$5:$B$10</c:f>
              <c:numCache>
                <c:formatCode>General</c:formatCode>
                <c:ptCount val="5"/>
                <c:pt idx="0">
                  <c:v>62490</c:v>
                </c:pt>
                <c:pt idx="1">
                  <c:v>89648</c:v>
                </c:pt>
                <c:pt idx="2">
                  <c:v>166465</c:v>
                </c:pt>
                <c:pt idx="3">
                  <c:v>34387</c:v>
                </c:pt>
                <c:pt idx="4">
                  <c:v>24186</c:v>
                </c:pt>
              </c:numCache>
            </c:numRef>
          </c:val>
          <c:extLst>
            <c:ext xmlns:c16="http://schemas.microsoft.com/office/drawing/2014/chart" uri="{C3380CC4-5D6E-409C-BE32-E72D297353CC}">
              <c16:uniqueId val="{00000000-8F2D-4F67-86D2-1F7D4CAA5D57}"/>
            </c:ext>
          </c:extLst>
        </c:ser>
        <c:dLbls>
          <c:showLegendKey val="0"/>
          <c:showVal val="0"/>
          <c:showCatName val="0"/>
          <c:showSerName val="0"/>
          <c:showPercent val="0"/>
          <c:showBubbleSize val="0"/>
        </c:dLbls>
        <c:gapWidth val="219"/>
        <c:overlap val="-27"/>
        <c:axId val="720613952"/>
        <c:axId val="720614912"/>
      </c:barChart>
      <c:catAx>
        <c:axId val="7206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20614912"/>
        <c:crosses val="autoZero"/>
        <c:auto val="1"/>
        <c:lblAlgn val="ctr"/>
        <c:lblOffset val="100"/>
        <c:noMultiLvlLbl val="0"/>
      </c:catAx>
      <c:valAx>
        <c:axId val="720614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2061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[Analysis_Public_Toilets_Dashboard.xlsx]2021-Present!PivotTable4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t>Highest Growth States(2021-2023)</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3838593314152"/>
          <c:y val="0.12742493422216533"/>
          <c:w val="0.76008989406041727"/>
          <c:h val="0.71679447696544218"/>
        </c:manualLayout>
      </c:layout>
      <c:barChart>
        <c:barDir val="bar"/>
        <c:grouping val="clustered"/>
        <c:varyColors val="0"/>
        <c:ser>
          <c:idx val="0"/>
          <c:order val="0"/>
          <c:tx>
            <c:strRef>
              <c:f>'2021-Present'!$B$3</c:f>
              <c:strCache>
                <c:ptCount val="1"/>
                <c:pt idx="0">
                  <c:v>Total</c:v>
                </c:pt>
              </c:strCache>
            </c:strRef>
          </c:tx>
          <c:spPr>
            <a:solidFill>
              <a:schemeClr val="accent1"/>
            </a:solidFill>
            <a:ln>
              <a:noFill/>
            </a:ln>
            <a:effectLst/>
          </c:spPr>
          <c:invertIfNegative val="0"/>
          <c:cat>
            <c:strRef>
              <c:f>'2021-Present'!$A$4:$A$9</c:f>
              <c:strCache>
                <c:ptCount val="5"/>
                <c:pt idx="0">
                  <c:v>Bihar</c:v>
                </c:pt>
                <c:pt idx="1">
                  <c:v>Jharkhand</c:v>
                </c:pt>
                <c:pt idx="2">
                  <c:v>Madhya Pradesh</c:v>
                </c:pt>
                <c:pt idx="3">
                  <c:v>Telangana</c:v>
                </c:pt>
                <c:pt idx="4">
                  <c:v>Uttar Pradesh</c:v>
                </c:pt>
              </c:strCache>
            </c:strRef>
          </c:cat>
          <c:val>
            <c:numRef>
              <c:f>'2021-Present'!$B$4:$B$9</c:f>
              <c:numCache>
                <c:formatCode>General</c:formatCode>
                <c:ptCount val="5"/>
                <c:pt idx="0">
                  <c:v>7799</c:v>
                </c:pt>
                <c:pt idx="1">
                  <c:v>911</c:v>
                </c:pt>
                <c:pt idx="2">
                  <c:v>10135</c:v>
                </c:pt>
                <c:pt idx="3">
                  <c:v>5256</c:v>
                </c:pt>
                <c:pt idx="4">
                  <c:v>1078</c:v>
                </c:pt>
              </c:numCache>
            </c:numRef>
          </c:val>
          <c:extLst>
            <c:ext xmlns:c16="http://schemas.microsoft.com/office/drawing/2014/chart" uri="{C3380CC4-5D6E-409C-BE32-E72D297353CC}">
              <c16:uniqueId val="{00000000-B255-4F74-AAE8-5911B8F8D65C}"/>
            </c:ext>
          </c:extLst>
        </c:ser>
        <c:dLbls>
          <c:showLegendKey val="0"/>
          <c:showVal val="0"/>
          <c:showCatName val="0"/>
          <c:showSerName val="0"/>
          <c:showPercent val="0"/>
          <c:showBubbleSize val="0"/>
        </c:dLbls>
        <c:gapWidth val="182"/>
        <c:axId val="720648032"/>
        <c:axId val="720636992"/>
      </c:barChart>
      <c:catAx>
        <c:axId val="720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20636992"/>
        <c:crosses val="autoZero"/>
        <c:auto val="1"/>
        <c:lblAlgn val="ctr"/>
        <c:lblOffset val="100"/>
        <c:noMultiLvlLbl val="0"/>
      </c:catAx>
      <c:valAx>
        <c:axId val="720636992"/>
        <c:scaling>
          <c:orientation val="minMax"/>
          <c:max val="10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2064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[Analysis_Public_Toilets_Dashboard.xlsx]2020-2021!PivotTable2</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Top Growth States During 2020–Mar 21</a:t>
            </a:r>
            <a:endParaRPr lang="en-US" sz="1600" b="1" baseline="0"/>
          </a:p>
        </c:rich>
      </c:tx>
      <c:layout>
        <c:manualLayout>
          <c:xMode val="edge"/>
          <c:yMode val="edge"/>
          <c:x val="0.11959861727755007"/>
          <c:y val="5.431727920328954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4249863875527"/>
          <c:y val="0.18800586084868254"/>
          <c:w val="0.71083813481784719"/>
          <c:h val="0.69966322574068773"/>
        </c:manualLayout>
      </c:layout>
      <c:barChart>
        <c:barDir val="bar"/>
        <c:grouping val="clustered"/>
        <c:varyColors val="0"/>
        <c:ser>
          <c:idx val="0"/>
          <c:order val="0"/>
          <c:tx>
            <c:strRef>
              <c:f>'2020-2021'!$B$3</c:f>
              <c:strCache>
                <c:ptCount val="1"/>
                <c:pt idx="0">
                  <c:v>Total</c:v>
                </c:pt>
              </c:strCache>
            </c:strRef>
          </c:tx>
          <c:spPr>
            <a:solidFill>
              <a:schemeClr val="accent1"/>
            </a:solidFill>
            <a:ln>
              <a:noFill/>
            </a:ln>
            <a:effectLst/>
          </c:spPr>
          <c:invertIfNegative val="0"/>
          <c:cat>
            <c:strRef>
              <c:f>'2020-2021'!$A$4:$A$9</c:f>
              <c:strCache>
                <c:ptCount val="5"/>
                <c:pt idx="0">
                  <c:v>Bihar</c:v>
                </c:pt>
                <c:pt idx="1">
                  <c:v>Rajasthan</c:v>
                </c:pt>
                <c:pt idx="2">
                  <c:v>Telangana</c:v>
                </c:pt>
                <c:pt idx="3">
                  <c:v>Uttar Pradesh</c:v>
                </c:pt>
                <c:pt idx="4">
                  <c:v>West Bengal</c:v>
                </c:pt>
              </c:strCache>
            </c:strRef>
          </c:cat>
          <c:val>
            <c:numRef>
              <c:f>'2020-2021'!$B$4:$B$9</c:f>
              <c:numCache>
                <c:formatCode>General</c:formatCode>
                <c:ptCount val="5"/>
                <c:pt idx="0">
                  <c:v>4754</c:v>
                </c:pt>
                <c:pt idx="1">
                  <c:v>8153</c:v>
                </c:pt>
                <c:pt idx="2">
                  <c:v>4209</c:v>
                </c:pt>
                <c:pt idx="3">
                  <c:v>6802</c:v>
                </c:pt>
                <c:pt idx="4">
                  <c:v>5447</c:v>
                </c:pt>
              </c:numCache>
            </c:numRef>
          </c:val>
          <c:extLst>
            <c:ext xmlns:c16="http://schemas.microsoft.com/office/drawing/2014/chart" uri="{C3380CC4-5D6E-409C-BE32-E72D297353CC}">
              <c16:uniqueId val="{00000000-AD29-4C5B-9FB8-9EAC4258DBA1}"/>
            </c:ext>
          </c:extLst>
        </c:ser>
        <c:dLbls>
          <c:showLegendKey val="0"/>
          <c:showVal val="0"/>
          <c:showCatName val="0"/>
          <c:showSerName val="0"/>
          <c:showPercent val="0"/>
          <c:showBubbleSize val="0"/>
        </c:dLbls>
        <c:gapWidth val="182"/>
        <c:axId val="91975536"/>
        <c:axId val="91976496"/>
      </c:barChart>
      <c:catAx>
        <c:axId val="9197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1976496"/>
        <c:crosses val="autoZero"/>
        <c:auto val="1"/>
        <c:lblAlgn val="ctr"/>
        <c:lblOffset val="100"/>
        <c:noMultiLvlLbl val="0"/>
      </c:catAx>
      <c:valAx>
        <c:axId val="9197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197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Regional</a:t>
            </a:r>
            <a:r>
              <a:rPr lang="en-US" sz="1800" b="1" baseline="0"/>
              <a:t> Distribution(2023)</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Region!$D$3</c:f>
              <c:strCache>
                <c:ptCount val="1"/>
                <c:pt idx="0">
                  <c:v>Total Seats</c:v>
                </c:pt>
              </c:strCache>
            </c:strRef>
          </c:tx>
          <c:spPr>
            <a:solidFill>
              <a:schemeClr val="accent1"/>
            </a:solidFill>
            <a:ln>
              <a:noFill/>
            </a:ln>
            <a:effectLst/>
          </c:spPr>
          <c:invertIfNegative val="0"/>
          <c:cat>
            <c:strRef>
              <c:extLst>
                <c:ext xmlns:c15="http://schemas.microsoft.com/office/drawing/2012/chart" uri="{02D57815-91ED-43cb-92C2-25804820EDAC}">
                  <c15:fullRef>
                    <c15:sqref>Region!$C$4:$C$11</c15:sqref>
                  </c15:fullRef>
                </c:ext>
              </c:extLst>
              <c:f>Region!$C$4:$C$10</c:f>
              <c:strCache>
                <c:ptCount val="7"/>
                <c:pt idx="0">
                  <c:v>West</c:v>
                </c:pt>
                <c:pt idx="1">
                  <c:v>South</c:v>
                </c:pt>
                <c:pt idx="2">
                  <c:v>Central</c:v>
                </c:pt>
                <c:pt idx="3">
                  <c:v>North</c:v>
                </c:pt>
                <c:pt idx="4">
                  <c:v>East</c:v>
                </c:pt>
                <c:pt idx="5">
                  <c:v>North-East</c:v>
                </c:pt>
                <c:pt idx="6">
                  <c:v>Islands</c:v>
                </c:pt>
              </c:strCache>
            </c:strRef>
          </c:cat>
          <c:val>
            <c:numRef>
              <c:extLst>
                <c:ext xmlns:c15="http://schemas.microsoft.com/office/drawing/2012/chart" uri="{02D57815-91ED-43cb-92C2-25804820EDAC}">
                  <c15:fullRef>
                    <c15:sqref>Region!$D$4:$D$11</c15:sqref>
                  </c15:fullRef>
                </c:ext>
              </c:extLst>
              <c:f>Region!$D$4:$D$10</c:f>
              <c:numCache>
                <c:formatCode>General</c:formatCode>
                <c:ptCount val="7"/>
                <c:pt idx="0">
                  <c:v>575229</c:v>
                </c:pt>
                <c:pt idx="1">
                  <c:v>493489</c:v>
                </c:pt>
                <c:pt idx="2">
                  <c:v>345994</c:v>
                </c:pt>
                <c:pt idx="3">
                  <c:v>284568</c:v>
                </c:pt>
                <c:pt idx="4">
                  <c:v>159909</c:v>
                </c:pt>
                <c:pt idx="5">
                  <c:v>20306</c:v>
                </c:pt>
                <c:pt idx="6">
                  <c:v>3666</c:v>
                </c:pt>
              </c:numCache>
            </c:numRef>
          </c:val>
          <c:extLst>
            <c:ext xmlns:c16="http://schemas.microsoft.com/office/drawing/2014/chart" uri="{C3380CC4-5D6E-409C-BE32-E72D297353CC}">
              <c16:uniqueId val="{00000000-DBB3-4DBC-9763-F64B9AA3043F}"/>
            </c:ext>
          </c:extLst>
        </c:ser>
        <c:dLbls>
          <c:showLegendKey val="0"/>
          <c:showVal val="0"/>
          <c:showCatName val="0"/>
          <c:showSerName val="0"/>
          <c:showPercent val="0"/>
          <c:showBubbleSize val="0"/>
        </c:dLbls>
        <c:gapWidth val="219"/>
        <c:overlap val="-27"/>
        <c:axId val="91901136"/>
        <c:axId val="91896816"/>
      </c:barChart>
      <c:catAx>
        <c:axId val="9190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1896816"/>
        <c:crosses val="autoZero"/>
        <c:auto val="1"/>
        <c:lblAlgn val="ctr"/>
        <c:lblOffset val="100"/>
        <c:noMultiLvlLbl val="0"/>
      </c:catAx>
      <c:valAx>
        <c:axId val="9189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1901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C8C-44A5-8A0D-E13E0BC8C5F6}">
          <cx:tx>
            <cx:txData>
              <cx:f>_xlchart.v5.2</cx:f>
              <cx:v>Sum of Public Toilet Seats</cx:v>
            </cx:txData>
          </cx:tx>
          <cx:dataId val="0"/>
          <cx:layoutPr>
            <cx:geography cultureLanguage="en-US" cultureRegion="IN" attribution="Powered by Bing">
              <cx:geoCache provider="{E9337A44-BEBE-4D9F-B70C-5C5E7DAFC167}">
                <cx:binary>1H1bd9w2lvVf8fLDPH1USNzRX2fWCqtKlGT5LsdxXrgqtkyCdxIEb79+TllyugopSQ5aM6ull+5Y
IurwHOxz3UD98/P0j8/F9bZ7NpVFpf/xefr5edr3zT9++kl/Tq/LrT4p1eeu1vXX/uRzXf5Uf/2q
Pl//9KXbjqpKfkJ+QH76nG67/np6/t//hNWS6/qy/rztVV29Ndfd/O5am6LX9/zu6K+ebb+Uqlor
3Xfqcx/8/Dyqt8+fXVe96uerubn++fnBHzx/9pO9zF8+8lkBUvXmCzwb0BPMMMISCXnz8/xZUVfJ
7a85OfEpYpIhdPNb+v2jX21LePwBWb5Jsv3ypbvWGt7j2//ePnQgNPzbL8+ffa5N1e/0lIDKfn5+
Xn1R8KZK16ubX6zqncTnr7694k+HGv7vf1r/AC9t/cueEWwNPfSrv9jgl+rLttxWz7bVl2ev1Of6
j233XTGPYBN0wnzfR8InB8aQ6ETgADGB/T9tdbMPboxxRKhn57oAGfV9wh030r2LWcb7BUzyH2y8
46LtI+jgL/4mghA6wRQJwdCBsbjcAYtQxm+Rw77b4MZYt7v7bimOm+X2sQOB/7OhEpls223772//
78MDFM4kYgEnCFACP8Gh4oMTKrnPgoDeoMRS/A/Ic1z1fz5o7f7o4j969x9IC+FjlYJDUMm2Sx/P
JNg/gW2OKRE7x/VXk7ATLnwacMpvTAJ+bd9x/ZhIx62y/+zBq8Kbnj0pw4DHTbvtszfd9su1fkTj
QIjnlNJAyH+Fjf0QL08kowTQQm6Mgw+N8+NiHTeQ/bxlpF/ePCkjrb+F/f/als3/f7ZW5lsCsN5C
Evjs5t9ebRP4/2fb4bpQ3/X4CC7PP7l1duIovnaJwQ51wrLdjbSA952s94lz3HTW45blrN8+oZD0
S2eqLeTqxeODDXGIPhgLSYMbSx1mBZKdBD7HnH2HohWc/pZkx412ZAnLcL+8e1KQ+0XrbXnf5v17
FQ9ikK8RsBA4xJufg/Rhl2QjTsFX4uPu8CFp7rDKzWO2Jd4/KUuECurbR7QEPWFcChrQnfOCn8NE
TsCvfckYkYCh/XThQTGOm+D2McsE4dMCwypNt32v9OPmbyg4QYwJIunRlFqgE58EgArfssSPSnPc
IIdPW3ZZXT0paKyvi/QxA744YQRj6bPjCTU/gfKGcMDOjZOywsiD0hw3yO1jliXWl0/KEmfbbt5W
0DjaL60PXunvFvjyJJAikAR6X/t5M8QR4iPik9uczLLBD8hx3Ap/Pngg9M/Pz56WpzpT5f9SjoWD
E4kwBYd11FtxfoIwQwFmdxjmbwh2h4X+soJtqqdV1FxtS1U8e7X9cm+N8PfSrCA48QMGSbAQh7AR
J8TnPvIp/w7Rm4bYjwlx3CD7z1qmuPrP7k0eSAvdmYttWd5UlS+2Oi1V911J/34RifEJdCMlpf5t
0JCHhqG70oRBwDkeU24ku6lyf0C244Y6usiBDkAFL55UvLncftnmj9iuATPJAEp59L0fY5kJCkwI
+wTizk3SbJX8D4tz3DLfn7OMcfnLkzLGBRQo+a7B+XiwQfiEURYgKW4LwkN/BlUKZSTAMJa5ScWs
3uYPSXTcJHuPWla5OHtSVnmx7aptv80fMSkLyAkPfILIHUMA6LOAr4PK8ngV/0MSHbfK3qOWVV48
Lay8uO62xWOaBJqURArOOUDgMFEmvkAAkttaxioiH5bjDkPcym9b4WmVKx/6HjgHj970hy7Xtxw5
uG1D2r0VH7wW280tj+Pjh6U6bhrrcctCH55Wdvxy+yWd/xfmMhBYKBYwFKPHm/riBKbKkmF8m49Z
gf7HxTpuI/t5y0gvn5qRIPJDxtx3j+nR5AmBjpjA0A7+9hPYji3whcTodnAmLXLMy+0PyXSXefYe
tm3ztML/y22lGvOIlQyC4I8JA37F9zHKgV0kPhHQV+YwcL5JySCD3u8f/4A8d9nk9kVsezytGvPl
dQKzr+38iEhBkAXDVCXA/DaeHBYtEvrLnDMBtIzjFvkRie6wyb8eta3ytBKBl2qpu0cddOET7AMI
fHxYsXyjkTEfSf/4wP8HBLnDFN/fwDbE70+qWoERPqDjUUtIdgJ8JAHtyqOdF0lOCINEADgyNz9W
Z+xHBDpukX89aZnk1dPCxusvSqeP6a4g/Q2wTwhE9pufgwAiwCBIwJDYv437VmB/WJzj5vj+nGWM
10+rsf/xWvfPwusKUPI9rv77zUlIhgUkwgiKlhuDHPoswU8kh5Y+J/QGIpZFflCm42Y5eNiyzcfw
SfmuN+aLAbZ6182PZxro5AuJAobw8XGLPIHIjjhMwm5+IEnez7Z+TKTjltl/1jLMm09PzDBVtv3j
u2b+fbwA41KAj5JAgj1wXZyeAJWPQBr2LxwdWuMhOe6yxM1zthWeFjzebbOt7qE//HiGgEYLFUDz
hg7xzfa37AF+DdIsyHtvQ7/luH5IouMm2XvUssq7p8VIfq/yXD0mwwtGJNz3MQwZj0Z3mEByoCsD
r+jGYtbg/mFxjtvj+3OWMd4/rXHW1TXkvsmjEigCfgKZLaPAuDv0VfLE9+WOdXRbiMCv933VD4ly
3BZ7j1rmuIqeVNy46natk8dMffHJLona5VkHxoASHWIJB9LELSosR/UDgtxhiu9vYBvi3ZMyxLeW
Ngx6H7UwhCgOk0MfuHe3fZG/AAR4EhhGj7d+zLLJD8p03C4HD1u2+fB/7LPuPqn359nFNQwQN98O
Pe4d1rv/t9/eG05hWo/e+pibHOyAtf7d/Zx/gYORAfTb/zxKuVviwDcdHN/68++vIbv4+bnkkIMF
HFMKTUqYQjJA2ghF08/PmQAqGXD24DCMhJGYjyFXruquT39+jvmJDy0yKhnkChjqUhii6drsfgWn
Z5hPMHQ0EYchmgQ+7PdXe1MXc1JXf+rh9r+fVaZ8U6uq1z8/h3Wam7/aiemhgHACM4dds7r5vH0H
Z1fhj4L/p+MprnMl2VkarCV9rQdIIv58/7+x7u7z9taVSA1MFxPf9DQt0nBZ5vljitgEPVOX5cEq
+8tn3Mvncar4Ju3arns3ssVPrpJpqb/evz4E/aNqgfRtf31ZLrkwecw2ElG9vG2CUvphijMahMDA
KFFIcNvHp/d/2F02APPvf5gG22djUrHNpLHAofBx0oX1zAR00O5TFjSMjr6Mf7g+l63fZHJmGxM0
5GUQjKR8P/qZzy5n0VdT5PGFdWE5tw045/s+8I4XErDT91+oEX4z8N0HDoXk00WdmtisiDap2tz/
AbuFjuzaHZls/wOEWka/N5huxlzz8YLNOEarJtcovaR5mqGXgclNvmp1W8089AsStKd+lQ7d2f2f
f8cLMkujRYdZME8ZjzqvGaOkD0gRJlgkX+5fPtitc+z9dpbcQ0/DS51TPdONSZKhXQkkIo6Dr02O
2zEP22QcytDM3LusxyTINwbVtahCLxGohBafiwl3wNiToEjmcijoCBoWiK5wV3/ldFRu6hOW06nB
EYxi7ulmnjX/za/nOowHk712E31ntH3RRaaYxh3d5Fipax/O7l9WnsrNym15y/XU3kibNqV0U/R8
+DUYWxJO8cLdHJuwHE9XjFnToJZu+tpblo0/eUO3Zk1dc0fxLWeDpiQQc5GBs6mJyVYzYxMJ2xaQ
ur5fP3e4TmZhs5TDSDOT8KgsdBu/42XZml9xu0j/ovdSyd9C6MLs/P4PuwOIwgIiymavqnXjRVU9
c/ZGQ8O4/7Xse++r0/rc8mRa+MYfJyqipQ7KzZwQrwsnlevuAWvsdvwRoHNLWbLOSWHQHEe1J5by
dOyCZtgU4xyodatSIh0/xvInmNSxGBuPR31vUH9WsbryN0sVFNOmUf04ueGaW06jrYc2xlMpogbl
y1XezenrijN5db8t7tKV5TXGfBLBCClUhLxJbQrdcXyZkLluP+ZU5NMDqrpjR+1YS/veIxVJkwve
iKgryHzulYv/WiZBV4T3v8Rdy+PD5etYzT4oh0WGt2gK/Wwin9hSNxu35S33YQZewzyJsWgowAJ9
kZQbYjzeOEpvOQ+jcDUXcyYiooccbDCLyQu1P6vF8QMsPOfSo62cQPsyKNvqvAloNW66jC/jGycF
7ZLwffNyNGMdeBOLpE7Vr1xo/WZSSTu7yc8soPG5g9M7QHKPGkx6ddYveJJhmpej7wYxZkFsUnPL
etTxKNdJQ851iQYRZoZ0D8Xmnec54pGYhbI5yRK/HMHEbTw33TpLMOdvSm8Z2EXSx2W+mRI0V78V
pcC/myoZqwc8+V05D7OAV0xJzOtlBFdYiKK5SD0dcygccglZo+jHjPRh1WfLsFIpa8rTfFoSvmZk
xPX7we+ZcVSwBdA5Zh4XuRdHJffMGquRR4IX+IH9EeyQcky96HD/0aGfVItaGWF/6erNEsRDv6Hx
shRnjcR8fp3osv7aeGQsz8giKvpqwhhVLxEXIvtN5IjSB0S5wxMxC8uiymhTj4pEDY81XrFFXjfT
NLZufpRaQDNBx0SWJSRKmkl8ohB+XmnfK938HN3t3r0cr8VJlXkelxEtoJJZmUCUS2hUN+sHtsEd
MNgdS9n/AK3amaKpE1E/jzE6F6Tr/D+mJgBIpCj167BSpilDtLAm+dyUi0aOerMAjseqACt3LGIi
Lk3YtEiX4WyI5+hiqQXwhSx5a1jHN6alwYbNQ7JeWO2tnfwrtVDMYulXWTstkTZJHy0Vz0LWNdkD
TuKOPUstcMLBotSbIJeMMqTKFeqDbB3PNXLcVBY2oSypRaDqJUJQN4Z+GnysEvJQpneX6BbcAtZU
ZCqSJUr43L80c+VD/GzTIHPcN1bkTDPTN7ibl8iLS3mOhilfx1iQyMmsxEIzbgba9Dms3seIrEbM
dajLQLnJTiw0iwotYuBgVq9H6SrHZghZzomboyMWlDPf6/wx1kvUBqo41bJKVgMly+n9mtnB5ohD
JxZeq5imyxJ4YzR69Brqwnw4JX3eVFE/cub4BhZk8cCHKsvjMcIA3Heyr7NNQOrcrV4mFmT7CnKV
cWFjVMNA8xzusDDrbK4c3Q2xIBv0ZRGLJTNRogvyQhUlf9lMhaPoFmIhksZ5HuA+aussDlYdRXrF
0ylP1/cb9w7QEgu0NE507i3Qh2kqNV3kfdJfmjguHEFlQRb6o94QmKw/7Uwy6vd49EXxmnaCpW77
Zjfb2Q9ieaCGNhnQBDmbWVZ5Qz/Ncq4e2Ph36GZHJ9xfnGZeToSIh01bpEGItUFhK6VxFN0CLW4y
guJMDKB571OHIAGr5BS7mRVbmM2bpfM8zW5FJ6hFIR2Yq+g2WqmIjUiDYSNHaBqj3eraXTE7c+xl
Prk/NHGhYfUpk+nKiNyEjKHMUe0WWlNCRQ0DdFidoOtWkeI0UYlj6wlbaM3hik2hElhcLqaMCi47
KI3Y5JYb7IYo+4qZeszjYs6HDe3jMZyCAYVBE/duIQpbWC3TBlU19s2mGpYqHFN1bbIlcNM6snCq
l65v6nQ0mzJPScgI/eQNGjkubuHUj2mH59TrN7z1q7We1FabRTsubsG01XLKIBM2m4zJNGSZKkLT
Ie64uoVTjjMvUZ4E0aUJXmoYj7yJeVK4jaiQhdPJEFQRWDlaArjgNVwqweja6z2h3fYMsqCK2kmW
pkmGaCZl1YUebmjUjKj/7BSckIXVQMWoq6cSImusiwuZ6WCt82zeuK2ODuFkurjByUxN1Ev8e5Ch
t5rgt25L20jVc1bOs9dHKvVegXv8NCPu2F9DFk6lUiUPKt5H2ZiKtUnpVZ3HtZtBAwunVa69Tgpj
Ik/1alVk/JKj1nfb7DtWzL7/grHw2OhJeJuqmL6oOfiIaAkDeYdhTmChVKgx8SBezxEsq/twQTpl
4axx4uZ6AwunQ0JNmpOuj4Cw4P9GevADoVZL4JZpBBZQTVsgv4hrE5V1t6zrif+RqiZ2VLsF0lio
lg+qMxGdu3lVlg2Inj80ed0tcqQ42JEH9m0qK0ZU45V9BNN++VLoJHhZeHHz0c2sFkRRj/oOroeG
7ZjGaYjL8TculKNJLYwupJZZnOYm6uiAw0BMn4pWvHGT28IoGck0Kgxre5m+ImZ+SYl+6bS0byG0
HuM46XHSb/zY81ZeFl+qxXfsD/gWQoOgafjiIW8DF5S9Lmf+SXRz4eZafAuiXgp5eleDToq0elsn
9Wlcpm6e3LfQSZpxxhM0vTf1Mpx1I3pBqFsE9S1gNjPtWd1AbcfK5FLUU1R1sdscdHfn9T5yVNFP
qTEgdFN+WAazyvivbjvEgmQhs65ZcjAiSfM/ukm+FQtz81O7a9H2ZTbtkE/zyPpo1llwtcw9ijKD
9dpNcAuRuIqnKlOyj7QHs35U5Wcylr+5rW0hMi+UpnCxgrehCrJbz2dbIrFbYANS56FaYGO3beFD
SE4Vm0KqibeWkg9OwIGbBg5XF3rgPaGDt2nZ+65eC2BiuOiESAuRaZK2pE3nPjIC2BYj1k0YtOzK
bXELkyMMyOe5ivUmSJuzsYDhe4uz3mmnAJH2UCWdMX7uFbC4KOgbbJrPisydo1YsXMJ1aLPfCqk3
XYnfUFh7MoPr2hY0g1FxjKcA2sYI+5dGJNlFSybmqBULnakmQwH5LGwUurBw8bMPBUudEiwiLWxO
0pAxl4D8Cc99tvJJzOo1ggxIObkWIi2ANmNJYuAb9VFCmq03Dh9h+PDBaSvaZK0BY79jGPRiTELX
rclViOFgj1MeAQ0hay+mA4d+9ASCT9MbU/sX09A6IlRYCM1K7hOeYh2JHL8sgHC4gWtIkJvGhYVQ
k3TAuTRDH/lN8ZZ4xSrrUqckhdj0p4561ZzgUkcIUbQay6BbBST76mZOC6AzTBS0KHsNDAD2KdHT
heL0vdvSFj6nro9zgbwumoNiDIuat6dVmblRF4jNfKrpWMkB+DURjJCWdbXUrzjWbnN5IiyAmgbp
PA3GLqqBn1KE2nTeC2/w53dumrHgOXoYvCIxYNFh/qIhg5u0+MNpaZuB1EPgSRtW6yhnybupac79
snTbhzb5aIhFzrKCdNEytOlmGBO09orqs5vcFjjVQmLdTbmOZNqscjK/KsVDaecujv21qiI2zWj0
oB88NLyL0nKgJuw4y162rJnCMUNmXrnJbwVRmldTlde0iwqFfy9S8tFr8iu3pS2ITkBJLBiPO8D/
oM8G3QVhMBC3UR2c+Tv0uAlKqeowAsFJ8LEcvCokXvOrm+R2DJ3aJu/8VEcUKTJuFmxmElaiSHO3
IM0tnJI0SYQRBWzJyXurSnSlWrdanHALo4WiLRTMsHQ8y7e9r17HmDmNoYhNKirEHJftMHcRjksU
eQL1b4NkVE5UXLgT4NCgiA8+HRTsxNhf5nDu2ggTR0YXsQlL5RR7/aTTLqqGxg/9gZ+2Y+LWHYZT
D4eS9x0xhkhQObjHF8OMXhR0csOQTVOSY1KYrE26iMdJFfJlfiE75TY3IzYVScIu8SeUd1FQD29w
0F52fu8ot4XOTsF0go1eG2kmPqqge1vkrVMRR3bfPLRffsYTKfOkybqIgWZCCSzxsJ1L4eYPbbpQ
j7PWy2rZwtwmbVcdyt8aT7qloDad3vehzqqo30aJwmUWjtCo2BjfY26KsalIWSaBNpbNgBs5lyth
GHtXKH9xs6hNRRoyymIgw7XRIju0CjR5BZHUbXpObBqS8SpR06mG7VJL4ufga+dcp6GQQ+7Uw4EJ
/+GuAf6sL5OpAt0n6chXFTTPojgmrdscgdh0ozk3RnRl3ETC03m7Gsam/GokHx2LRptwFJTIJ6P0
mqhLZ70uE5aFoCF66hTwbMIR59Mk/MFvIlMwtPIZEL/hOyQc/SO1ENsXcIpE46qJNOFJHwYLyrf5
PFVJ6Ca9FU0n1bFunEA3dZrVoerLD1MRuMU8aodTVI+lxw3ovRLN2ax9fToWdXrmJLnNNxrwgOem
GJsoi+ny0a/j5AzuvW9yN8XYhCMMfpKiGcwqq7jVp9wITEIa16x1/AAr+4VhXF5XzQCax3o87zrx
IW0Lt948sSlHPC8RkIC7JuKkf68S/XbM+/duerey3iSeR1wUSRvxSv5e1WMQpnBdjqNSyKGraaFl
LjxTNhHuMvE7h6HCmcnLwXHLWJG1971pXjCtI0CqDBlQX0Jv9vjGTTHoUPZu9mBGX8DqdJhNSIPm
Iq8eYjF9S0GPFDQ2zahVE9DrBKqjgeVJHMK0OANnw9WUr5JSJvlZ2czje1Pq4hxr7LGoT9OWXsER
N96+gf6f7t5LXrKzHOaS9VmWV4SFvFDQjE+mVvhjuJCs7T6MLfLMyp/bKt/Waeq1KwaJJVoHFHrt
G96YyayLALpkKwZT6unctJ7IIsSnlJzHdTbOq8CHbsJvHjB759MAZ5qvMZ9gzbFQ/XKatDLVcNoO
Lea0RGha1noocfX7xAmJ3/SEedkfOqBtG4kFySHqJnjfddMvdJP5AxWrCi77yVds5ok5S4I6kZdM
VHBwy28X9B6uPRnDAbHuvFG6WyK/lmI+HctiIOuhIwndDHwk0MIu0oGskqIpa8hnpZxXolOYh2Wt
uuDFWMWZPC9w0JNoAW2PK4rz4XxZvPJVVw0+WRN/GJYwi7t4eV8EWc3dshCb/dJWqgd+u6wjCc22
kKLsMl0St1MrxCa/+PBq8DV8TR3NdROX69ofs2hqfeWY/RHL25cTMSw3uI4YTWtoWXkhSrB08ws2
TQ2TeIYsuGiilJXXMcnfx1w5Kl0cwnaAMdJUIJCbmjjSsriIaeDW2cSWi6cD0GoCaH9F8E2fUxh7
Mg9lEdSOOrHSss5PMMth4hglKMvCKW+/sqxzy1ix5eQzOJs7VNyvIzOb5hUc/1JnNe5LNz+MLS+f
MuWbCjEdJV1OLgkk33CuwPSfnPwwtrx8VybDMDRDHeUiMb92ol1gElGJ3lHt1j4PKhUsHgajsqSk
0wbpyiwh92jerp3kt6lefdmOsZf2dQSDqq9jQy6op92OXMA9UIebvTFjN7Qzr6PUl8Aj6zWfihWW
GfrqJru14wfaLngwqImKVi4i5HWLYcYuEHLjYhBkbfqxqYrAnxJIEOBrtUPDx2yjlHJMEGy+V8PH
OFsSCOEwo+lWwChjq8Yb/chNOda2H304y0xVVcNJ1KK4YHigfcjajrnx+4nN9tJZlQCRqQZPVhl+
kVbY/x1q2tmtFYys9IZPZbuUGvJVaGVN5zGJTcT9njtueqsOQbgwUu0cfKbKZKXHNglNX5ZumLUp
X0EXTGaCOjny5gpfp8A2v15KU7oxP4lN+qIIV1ma5U0EX6MyeOe5rIKVH48jfWB2eMfBN2ITv+A8
aByzQlTRUgS4u2pyNdSrmFeoWY+69q7gRNgrz5NFtoYsLperREIxepp6lNZu1rf5YXCQlvkmg/xz
nNtUrLwygwsoyrRqCrcy2iaIMR8vULPsPFPcB/GLUiVwd8Lczr3v1p2yKWKLbzo4koqqCO5NV3k4
jdlIwiwng2OOEljwZnopuwrBB8wGAW15MR+Bvf/ZyXXYLLGiL+demqWKmq7SqynBX5eeugpuITtp
l0DrnJcR5LanBcovENJuLYBvZxz3qOil5/nJCDeIRD0Z9Cr3CIwaxuWdm1KsSNynRZcE41BFsenE
xqQoCUuqHEOlzRMbuaqrCiwaqW7y/iizEX/uPAg3TrLbRDGdkaomVVBGkK684sPyomiTB+5y2e23
I6WizRNLJpgzsq6uIj2h9CIoOhEmqh7dgphNFRtzpsSQ4zLCuaiTMBOivUi5qVI3mNqEMSKnGrPK
LyNOq2zVSnGWk2B2iwM2ZaxrqiSJpaoiSdLxUnclWfE+G97eb9NdcnxM8VbiKcd8HsYA4nuxkBay
Zl8nclP4QV1vGBRGlVOOhW3uDlzPEcdN3xXR0vE/oFB/WfL04/1vcHzr4N1VUvvzATL4MBqE41hw
QrCOs7DVZrgecet2NwDcNHq4vIJcuUrjqohkI2Lo7mhxXjJqnCCFd1/+ui98jTIzLR0IHycp1PgB
akK488HNHWCbvyPZwmeqodkRjH0wrysFw99VVlXZ4FQswh0Ah+KLYYwbSCOKKEjZvBaJ77+p4fCU
k6+EBvTh6jNTUJGPrbdOgmSqLzI/8F8h1FDjJD18veXh+mJmsWA4qSPf4L4JYRdlO3/vy3rtsjXJ
7mtp9q1bekq3g1TgMCl6b3r/XRLEThsHbiM+XBquJOmF34Hs0PKla9XBfGkxQeXkc+By3cPVK/CQ
Xg5U1U3Au/jdMHvN+yqlbkfs4Kq3w9ULVQXGR7rYJQbibVNiGvWKCielY5vg2EDLy4/LHWBTaJXV
rXjrkUQ5KsYq5czcV7OZVQG0FbhXbAUnYttPSyHr4YH1vzUr/uqPsU0sg+/JRRNjBrwZM7R83QZB
Zc5UPrTdKRRiBp3CXXpMr1taTPWlN0NVcNnwrC0/wX3i5NQwtJxz4s00lEts4PqD2cvz12VFJ7Qq
23ZWqyVJ4+WPOp6VOa0aiLkrQ7PpMy4JeTE0WX8xq3Q4xbEZYQm4pCIN/VKR5SoN4HzL23x3kcRV
pUSj11CwkQV+242r1Afm56usSb1lDX+t1UuM4npwSiSxTYgDXmOLdgeSN0kcZK8GmctLpFDiFmCx
TYmrvZzW0B3NIzT51wy1b2WQvHFxANimxEGtOZceG/MIL8CzLRA5R7V+6KaL3Z47tlWswGeMVyaL
nvKobeAyjfNOL8W4ljOwHtYjVAjJOZOsSD+5vYkVBoNWwhcDDjSPvMZjG5KPxenSFMkHt9UtT5zO
sYEaEefRUJN07cXLxz5DD+npeIoDX0J16G4CP1Em70wescKo98CqJq9FmkzbKQu8B5qDd32E5Y39
WPIENW2+0RPO2Trt265V4dBBs/1cjXCi7YGi+g6T26w5oCckZmBFsklUn+enhk4BsMO8YqPKRaAV
MLrdukrYJtElKfRO4q4ApVXIA6Ib+wiOyDGn4lbHzYMLR6ARUOVRAOO4Ho+nPQ7e3b+T7rCETaLj
GLicC5zBXedJy/tzWWh6WgsJc3+WDIXvxC7AfPfpeyUihbWZUtyDazrgpj846578JlvudrQVvgbi
cHU9y1apucsizml/CpxrEcZp4FaswHcYHa4+KGhFYhOkkSKCnDbDXK6FVE51HOYWkH3WBEXBi3gd
DOrCj3FIauaocwvGM/YLXfew9LKQTSzb01Ihp/oQ2xy6GW4qU1rm8TpX6AWn3ouWuXXxsM2hA1rh
7iJcFa+bbGwvMq37yKP4/f2bfbchjkQAm0IXU54OM/ZgsweJ3jRNR8JZFuTUbXULpb7Mu5j6noq4
0s0LYL1+bJPZ7XJYbHPoEsYTb0BGRcWMilMj++rMbws3Kiq2aXTePMHcsOxUpLKsXTepuPR4pzdu
erHgOWV+azSu5boviZpOERo/NF2euzUV4WvfDvGZ1rJvC1LJdTW0r/KijrKudgviNpVuTqcpKRNI
pIreqLAylb9aCvqA571rM1r4HICdv8AJPwCRHuoQWGOrhsGNwm46twLsApf06KFvFJxaKudVlTR1
G8ZdJd0IaXAh9aHSZTnDmYucSjhoVS8oFEXcvainXLmdg8Q2m86wKq54i+W6HBcYe74FFsADmvnW
qj3iBGwuHWFLAJdTJWkUzB4eXviqpHDAKIHLNq/gpqQ6UlQuOOTtUNINg+7auGr7nA5whWXD5tPW
SL/dLE2QoG3JKRqiWGDFnTrwmFhxspA9XiAr/h/OvmxJUlzb8ocaM0BoegXcIzzmnCKz8gWrHIpJ
AiEJhPj6Xn6fbkWfOtUWr2mWOCGkrT2swZ16vtszbTxEf5PxfXM18lbhh4ScHGr07kSC7oCy8J9B
qdz/ZV3/YTu/FfhZwwKZHB7dKfLsKMd0tBUf3xmfrrY2f8sfxpUlZNnc6dCQaAg+/pXa7n38IfIW
dpMcRi+NIuupBWK+lqHrqjQHfetdJ/EtZOIA9LnpNwRTbvIfTpNPusvfR6mEm/Xfl6XTqNhnU6yn
PrVpuZu8OTUNoDPvevO3kNA9WTKIwPhrO8n69tKTVKynzo1uqt/3A292+9T3Hs53Ha932zHclnFY
p6qD3Tr5+b4feHPzWD+ux9aY9bTOnTlpUYTayOJdYw/yFhOK+oESQ/R6yq4idIEukA0o+LvA/rBi
/vuXNXwrXOPx8G2F0rdyxVLOKn8f4JTQN1dP0a2QZlin9ZQPmanImA0lOrY/3rfob66eeRTweyGN
P215p0uRJGAT7kX6viTrLSK0BfA5LRLiTzNgXuU82vZJceJf3/XubwGhRTCGZGzxp0RiBFeMR3vq
I33fwrwVoOttyGagAvwJiqb5y6T38QdLD/6+nPwtGvSgXVj8ihA5TUxV0DmHPFHR/JsEz/VI/odL
863Kl8rGJR9nIs6sUXR76Vbd63NkubLnwhrcgu9a/7dgqmYjTZENCGjwJk/qLadtNe3r+8BU5K3e
l+ka7j3D09t26msBJFUl5/jrfa/+JpiNA74A8Iz2ZHYTq14vQ+10875Y8xZMJU2Rek2pPW3jup11
J/ISCsPH+4LNWzBV1Cg3DhvsyXeHOmdu/HJkA33nJ30TyY5OF8eMXs/JiI5XWu1DBUjq+2D/mOr/
PU5OPHLPRWNOiU5sNRxmKomJ71NuAgP6709vikLZbGDm1Pulqw6qVSUgLf++6+8tBmzNIlrOthXn
YZiOz0dq9tchnf5N6/16x/2HE/sWBdaQELIVYOUTtRn4KNcYb/Ls33qE//T0N7UuHG7Qro5SnosE
rfMt+Tmr6fO7DtJb9NeY5VkDgwt+hs5Xo8rtAMDPd7v79r7HvzmnmZrJfKRWnqnREzCsw866B5ap
SbzvrL6V+zJOrEicjDxLl5WDzO9U+s7L7y34C0Jci485Hq0LpMJXPMT0PkAieYv8goFC33R8kefj
Kn00hqyoik6E8n2L/uaYDqnq/BHnooYK1+1kzUvK3qcmCL+sv5/RlAJURLQuagb4wzAlD8XUf3jX
W/8/kC/ICHWWTEWds1VnN4VR4F13Qa9f3vf8N3O9yWTLoNaZn4s526FxXrji7krV+zc9weth/A8h
4C2eq09GU4jQsLM2ibv1zbbpJ8fTtj2Bp8qbS6uP0D36o/n/KK7/pzr4Tz96bcX/r1Yvj3kzbcOi
UCnsYdqrTPUqN6dxxKlT567ZR1Uus4afTDmRBXf7PkQ78cusDOv0GYX1MOpSHeMWL10Tk+ZPQgJg
d1MKSOtYkiEeIZQoeMzyMMJX2zxurgkZu+xJwZextIdqk75MiexJW1rPDYqimeHTlVQuc/unsZ1e
s7IYea8v5Bgh91xHFPS8reOyBVuNkQz7J0jIha0v6QgPHsh8x353U5nJNWFFKSO028fbzIwM2vQa
PUuvS/AK1IoXdHyevphcI3cc+CD+0kbjn+26FFvNAPcl5YoVGqttC3l/c8R1Zxb1MnHTnzOatnwt
d5ulWSipYG33x9QXo/yp2xVOPCBywiZel1D7GuK3K0jv1hw67uUE0ShXhdC7bKw5iJPN6cDIJj8l
ebO7qhHYabLaWIhU1/l20PQ+ExuT556uhwYvbJnjLWT8p4ozs7HHIV17Uac9CaTqOFuQhQktaqEh
gFvuS8uWCfjNYe7a2kuUWLxCh2RvZ7zZMlleipxx8Ea2/qYpONJGxBKm1zt8rbnrSyuQ2ZUyS5Su
Vz3l3xevWR3isfOfa39EcjZ2puPTYXPBXrsl5/yJ+IaQh6PpxNrW6gBHpTjLsGZQRDgYX9UjGBoC
38v0vcHLtekh2/WcQtUY2ZhO52O8jYzs4ccidD+31byhGXzhYCDJz9nOdxcrNRVwEmtFcpWBVKua
QgIWywHQFhR0+Lqtp4hvOc+XnKKRll/YOImuHNkoz2zspmpme9AWBWxM3HbNLDd3n65uPAWLGPXE
5nYdPu973k4C22HO1/NAqNurue2KHCqxXVQ1ehyd+EN4Ms33cj/QBOpouu62DMajmV9KQXmODMp7
QkglKSHDh2wUlp0hsDLu91MeMnS1Uw9ttQNjZr+14G6l0TEPJCeDyFqq1h+5SsCZsRsvzCdOdSbq
rnF0+IE+iFA4NLqYt9oNdHZP45q27DPgWYs+D5GDJiTndKZ3B03y8SHrwnj86ic1r2DM2GQunhYc
2u40mS7mF6OzYfnaJVqkOcLb2DJacl1I85R6P2Y/iqFpRCybVur2JoRto3ep7Yv52xBYpBU071Ow
0dtAMglpZ8rUz8aHdmzLcRnFD0rYYr6CXX50FaZLuLtAlZjjI1B9TuA/z0nxcx7sdlx0bmL8PB5p
llWmw0n6ORTY5rftmB9PXqbtOc0XMTwLu3J2SkVvuo/L2O3HSwBHIk8wiYZugKivSsTs4oKfpr9G
TG66+4EtJN7M86CamyWXmb1fF3iVV0NBivwPwfJC/srC2DyBQp7cYYx0/AQ7RJdDoG3dQiAoqff+
EOEOJg/bcQvxIPJNyb6QtVFgOn7gsVPTU9Y2fXYJc7/GU7J0w34ro03ZDWf7mH5NWTM2H7tFtqYy
0SfQRBxS6cBD0QxGftvhqH106eHTCzHMqC9w1mjm55VK3p3Tbpx57fdhQ+wMVNjuDPx0Zh8XubGf
CpoAU9WgSxOeuz21CCXdvIcTo7O3bZ1iWrXdjwMEjs9NuxowVBK+tZ874WRx0cYYVvomsexH18nB
VO3kRj+UYsqaFOZABdkvTmnnax/yNKm9m/KsnNQRzB/ES7xBTdM2g5zhjrfok9bZctgTN52mqyRP
CUG7Y3xaAohpJ2ps+J6nMTD4n7WwiqxgBcEekS61vxscYV4Nqst1xXSg89e4wJ8RAkdaQ/KsJONx
9JfgwZL9HOFPZ5uyWzzfEe8PE+a5HDyu6VCi4725n2HdCH2FR4bFhTBCrUZ+VHjK9UMav9oTTBwx
6TxNIde0BPdzojcK/s/jadtaomLZZl4c92F3LTqYO6yf5G3aROSIYLJ13cXBBi0pD9v3ySdGR5vX
XcHWpHbplsmax+MYXm16kOF280eQN6uek6ZeQt7EBwJ3rZc0c0P/CV3kPI5lr5SXZ6jGt/5Ojqhg
niK6EOJcjD3uO980dAHOu+j2B92mw1jNh818VRjLE/AWrGv6APbc4bKPPh01yBhT4f1Lv6c8v50x
Mh6eZijd9Uu5xQION9AVL5dgZXbJiHT+mbolmf7M+12oB6aIwx6bOq26X0SJAztBQ7LNneZW9NsZ
f9k+nKgeC/eFjVvX3Lm2H8gFJFqmHlebwxTrhHCkWA0vI9L8PiCVDE1z1w301s192wLbDBIT9oiA
jtJdN/hobs2gCTDDOTDE6ckZuB6Wm49T/gm/KV63rPP7dwXReHDSZd7NRbVAfrGtEsSnptobs38a
cubJrZAGXBc6TQCr6s2KpIpm9fB8s3PYQSDZeFZhoCC6F7wupc97iG1/m0x5gclR34zJ+lnrY57u
AN3tDmRF07H/xK3hphEaqWmafbhOakhakW7hx+ORykI7ROIjNhcx4NNDaJbBEewhICAvz3C/cPaS
+k76290zSa83995BE6DFMjpXeolTnkKvrj3Wtlr6EOMHInclSziNCXbmhUZ8K0cSBvuc+kwsfx7W
mWIold92eokFSfenAru/+za4HR4x+CPJ3DyPaI2Hj2LEIt4d+WD3eiIr9be4/xPTYnFzvZ3CwXlo
kTz5+cDHtO123sKY6C88i16/bFiz7W4ZgMB7Hra+66ti6Gb3bTc8p3/onEehSyiEpZPBShHV/pqg
mZq+QLW+kH/OUF4Zvy9qGXPUVxBEJJUe8oHfau5dRP7WpYLN5ZKsEVeh2nF9INuDZCxL6MZrB5GG
OQI2ypMfUJWPRZXiUh8ux7qMn/mK/X0a06BY1e8H5i+aT8VXmgMXUZEomqFCLVpwWBbOfL3JFads
K8me6uXJdEsHynEG+c6zkYOaH4k2IVElAwPrz2Fe/H6mWV9sz9mUWujvYs4qPxdiCt15U3DKeVny
jnwTDi4vtSsatAJEn3j2FCfT8HNqh5A/Y/5Epo9q5O64z4ZpmREwC5wNwOIBVBM3I0RU7WOjlTR7
JYqifYlAviTVznq9fXRHWECIBu81DxVkDJux4jLrzfPo0GMqO92q5UQieLXqDIpadhINmabapk2O
L9F3KnssVnN1cmXumvwIoH27tpJio3mt1yXN1nI89vh1EAqqSeWhQfz7bEBuI6+tY/ODnVZkXFXX
DkmVDVCFixWi+1bywIj/mq+QPbhtWTC47/meIk0nIPAaX0ZSJP7S4xXSD+s8eV7llC31GLt1uhl3
HPU/aGrDds75qDI4k1hInmVFT0RNFJCYpSPZcZa4jIIvLW0G97QCOiWnSjPN1cPomvgs4tUA9bAH
uXdCjOlJwMFmxzWKlKO2R4GwH9SWtJeRTdR/XlWTbR8nu2YV2tJL/j2qJmxVE7riFukabC1HsGhm
TN1Kuw/dbecNhDUK8Kpx2ZLqOLw05QwzJFZ7m+a3LfKBr0Fzct9CSkmXTA6Lq7osZy00W01eznMx
sDsR2virAPtneMxxdPTNMbhDPi5Jbl/SAIlXlEDEP7Tw8j6QO2WFfdkSAyS533nFQCN/RAsdZG24
ixKokYPJ+xityL/MIWlPYz6wsdR69/fbqORzG6CgX4/YxhXd11DlXdPfFkUhH1bWxrs229X32G7D
J0mUrfqUfVDU6i90kJMs29Q4wE5WNY5Luae9DK5ske3Gc4S9W7xlW96+smw3d36IQtbYzqzSx3rs
58kO9C4Cvlh8CYngn1oVgFqocz/x5LbRfAuqbLBzBWjysUt/9b6J/guljMVy6/UuAOXMthDr/qoH
cFFxPyCbImwWDZx1l8XlqGN6Mg91y7YsuduyAoRm0KdDeme7rJFPLtmdP2/g+aevB1M5q2QsNn+/
Foa235G56uVEfZ7kt6Y3ffEw7JuCG2s7baoMmbHilazKpM8LWYk5QaYhTpAkcKy7zMkm1R9JBy/h
oaKxp32duqHz5Up7pKLSr7yvrEKOEsqGJISoMtK49j93QcnysO3zdvyAKVVAOtR5QbG7Fc4WNeUA
wtBwgopOk99Yofrhw56h9j/NU0H02XPEnRoVTcsvyxV+d1q4zskzSDUDvQd+lmR1JncqLxloU/tf
PfgB+nl1Xpi0irLduju3OJKyEoIiAhOpY8hV/IDSmOeoggHZPO6dUw5xoZt4yB6NxpH8NKJYDX+M
dJSXYsZUgjgd+B+ZI2PyXWOmhTJ5nylcCtGE7irsDiRLZbNuiO7Ornu96daKrwycfv8qAmL7N+cW
mQ815UuC+6qZaLJ9YuEY9rZM8pyT0vvG6ko2ROVP7hB7/KsA3V/9sj3YbCcxwOrvY1TdLiE4QGf7
Ao9nOu6naYO6643sk3x+YThliIgpsYtAeOp2jmZhN4G+fzuQtAu3ZOzGVNfFYZEClAom7i1k4GfU
H8j4hqWKm7nmIrBx8eHD4K1tw40c29G+KpfM23keEi8vzsmV4osdMth6ydW+fR8lBReJdaN0330Y
l+1s2lQnlRzX7L5f2oZVC2aP/iEOQ9Hik/AeZECHLntlzbYgKV0Y5GRe1wMquRACWJqHuc2Xm9Ds
4uNC8uiRHdDjMM9RKVVa+GmWIIW1K4G/mBjmcwyCxqqFBel6OYhDgdbJlZfOhzkxpV99cB94Fnj3
1wZrE3E6xjTtahau92rZOnhM3DZIsx96SHNh15FMk7tmgKfpvWnj/FUKLEJNvC8yVaY9psyvTh1D
giw1psnNfmBf3yAPyPidxxUw/BkC6W9QAmTyjxkS57yrqGzT/qPZaNdBEjrTrF9LbDJKKoGoGlHN
JSDOHbzL+icxhPSoLA78lzGj+qSank04as16N6foYDyiX0Hoi5h2Nt6Fzcof6MR8Q+rhcwZLFQYI
+AyPmPzjlLfNd+hZDH3dagTFfrDjo/cpMrMDAiPhorjoKnNEGI4AQZ/e9twS9bh44tSjbVZ3vxoz
D3/Cwdn/TpbRuXpfE3zGYuev41pchzujwN2+F+GVIZfwdXssyNWBa/J7qQLXZ5CVJSsHE1rkBoAt
bDC7Ezv6tYiEDv0dPzwFAPphkSiunR4Qv+3riGSszCkQ6Be00qV7IItYkhfCAeIDKIhP7XbZWNt6
hY+yxtSB0d0M/WlPiRj4aRCs/9Au8IY/ZSAKLH/tWz5uVdKhc/UdcgdwkLVUuOI0dXnMsTX7/JPt
UY/cxGlwZT4ggJpyWy1c7Np87X4Kql3+SsLabVXULkO1wwu17eWwCZX80fdZ80NcU5NbsYNl/iUy
89uPyhdId+WSIZnVxbjeSniCiEoyq3/PFEe2FLDsqGALkhYnJQvxP82/kRxYhChO0LdsCpQyMFU/
7zkP/JtpEwn+cS8bdAYTqaGM5AykOGokJTrcUTbPP5XaSYY4V3TD9AqlNjlUue0CuR18EX+hdG6P
e6vy5rfu1CEpDLrjlj/oLhTLl6RJGf2dwTKD/kJp2aEzMrT0Qc52ROxIu1jlbbaEFysbbkA1wmyp
aFmbvvQJY+hmI/VI72mAoOhZbpbl9e6PlJw2trmtVHrdP0ETOSu+Giu3D0lSuK+i4dkXjNv9cTM3
4FvcJjMK413pfTuxQkDQ9xg28xVrPt5P2QhYGxvgkA2Nk2K+zJ2US0XNpENpkmb8BqbuXi4UPBlj
isDu7W6SF87C/sjk0Ynz3EBi5KRo3G8W2ErcZEallwI+xoh5E3GvnWxpfDbtDPbwtkHvp6TL2vhP
YYXE63docKA4czEU3Te0hgkv2RaxDnkYBoQFSTIyI+Pg4B+L1H/pdoYkkaCV0LbIMgaaQB6WH0lt
AYOnJypa9E0C/M/hU8Lt0d/kJjWvkF8fxo+5mEEC3+HA8LHHi5Sk3zKzVgjb0YfSojdGns3Y8aIi
Bq/zZZ6bMJ+HpRm6Ki+4CT+uWNfLPCmt73fOD4XfGBP3ccyKoJ5JywMSttiTsxAmmW8BoeThA1rR
0wlhYprOltLB1Xm3qQxwOTi3nuaQIohAB+YO3wLtiMbQ2aDcDgAtbzH6jy7phq2a6JqpuyTZ9HED
+bHjV0Jhm1QqWEPet8e84/g0AssxhvQ0ymKtlsWHOzJnSDi7frqPpqMfgV5ewBCAviP6HBBqIAVv
viUH4ORnAYZM/II+077hInJp9ssL2+YcHjjjgfaAU6uZLhMmFP337licrvClQHgXY4fMHBFTbbrq
lsZAvxziRfIREmmCVzIws172uVhgVw/fbHiXNhsTfZlQyB6egyTXQ5gMW9vCXXFBxYTgM9bD4WS4
eJAyZJnPu1c4xph3/V5xdzYXY33a1hsUtVMgMXVeZK9zgQyt3oK0XcWLjYHr41kcX3sGpZc6hd58
/02hoVGUelq77ku6H4gebZKw7I7xTNNKy1zl9Yxu2FbN04bWVgle3t7WA3hc6XNhFis+wBCk38oI
FWhzWmND5zLmR4EMRprM/0wsXBVKCqqH/AAvm43fdNEE/pPhjwpfHRJU9kBdpnhVKD7mL6oNKUST
DYqCrndaf4wg8I/nfHCpjiUF2X5DA7ObjhaFukfLAZt6R1IIX/NmgRm1dM1jN6f9ccmKdJ8epUGf
tmSGBOilm87+Tinpu6f8aCZAQZp0nG5XsSX5CyhqnOFMWXIEzH+maM7wbwz2DHCR0RWmKnT9MQXt
EhgkHl5cEoV2yrdU6esXYih86sxKM4D3hwJMP63oH44V+BXerSU0h7L8PmU5RXFJfTLd9sBZbD9C
HqWrG8YafxMQr0NtqTHjSREiljqHI40fy8Xq2J1RDSp53xSQXwP4Ul3tweCWNtdD18v9rvEpFxV4
Iq2kNZQYUhyovtGYZ2MUOrd3bNvJgZzFm+IWTYIZ0/oFuV2JPmw2luDmHUO9YBuoc7Gv2fKb93RU
CWqHrPCkbAlETP4yo1bgc42YkHlcphp5YlElysoblps87pcxE0S8QjNa+4eA0n43+MP7YiiQg+xk
fqa8V/vXBH+NTMou82Rez1c1axSkmzi24mm9VtD3TTKPO5Iv4GUhMBWbtn2OOnMoVuxKGA54MaJn
xSvMWiiq1dRpOf3sI6prwKki1+lv67dkQTLAKQqm2YNuu8GtZrZ3Ts6reKYIHi1SRTEcv8YO04jv
wxDm8Vy0xZQErK4hE8ySme0/FEj3cZZzyQt6NkiNlt+dKWgQpc8k1JoDL1bxOUN/rof9C/r//oe0
xTq+mmSdk5e5xcDnw3YtVKFYEIXKK74t0DUGbc5Ydek05l7YJIUhZ8tR+LATfBTX5R6k1JaG6sAM
aUal21ve8zqlzIv7YDBJekB2LdgD0qLCfZrUMNo73pIwX5IVZubfSZo2acWuOdt5nXWylornIXmY
Uwg8fUhWt/aIcZChryQy4+kUVy3sU+88iC6apnz7fCigyCqROgx5eqImSMzYNvE/BXOm+UyCQ/Cf
4G8wbMddcsBfGykrdA3VJZiWRORT8KCuMr779TbOkyS3Fl32cKNGdqSv6CpSetePmARWJtUAAJxA
3UytqLE3D/S2rh215LzYPF8rwvSQlDhzj8y4WGDWSCGPcU4zQKuXc59kmPewCSOeWCpYrIkyLruh
te04LW79vsrj1hR7kk6QdMvDKtHTa+GVNq8yGx5oZp17pQ6q6r95W6z6AYltz8+Kdqv8FAJGM7Vq
xdCCnQhw6ks/TYrdN62axk9BYGHuYy5Gd5eusNR53PCuOSzH40FfhpXr9m4frBy/oNDrm61KV2TL
Sz3MQqNtXUCjrU+rFYfZJBW0P1g0NeaAXMjzCGjwVcKY/wEFw9RllZQQwNQnjVGQWy9IwCwW1vPB
2Bfc0xMazwDjYJSG3E3GTwTLDnKVpN14fMH0pNnPG07yWR4Hf0ARzZL7PGkkEjuWQr0uv47xRH6T
DoyZm3HgC3041AySa5bH2f8R+lVCtGJcIR1y9q3ZY1dmgVGOGWcO0FW6OLFVDI0N911vkKx/mSG7
4PLzVeo1Q09jp3BfF/aQ21BJHcJYR22vjnLesSdqm2K6FCCXh9tlMiup2y2a6SF30KlBizTFvHWO
lq/nHk38rExcliVnzCh9XyvRSpSdZnEGGRLRPflz57B5v2+Odtg/QpKh8Oi9d409fpGJkvaHGedU
XVICquMlRdd3eQRB2/rPCpLUyG0mWuwPWZG4+Fdc6GAeYmwThwbfnovqkEhHSvSXV8xWeucA9lt8
8bim2oXKRxiHXixeYajXI8/HCth4hpl5UVwRjZs4S4BJn9QGZ+AvaRhb92j9kU13HLZ3x/Vr8wZc
B+kjrNsdL4YfaPMlpB6oSIyDWCvqmcpN2O36hMx6xAWJQHot84M14VkmdiNVTJLM4rCIxYIuYeh1
BaVBuwqZhKXy2fFNJWB297z/tV7vx198BVMd8ga0vSyzjFmZIt6pT8Ta3OPstVQvvjTCgeiPFhOM
oniX9mlNcpoAXkPapXnKO+7DGWEUWoibmvrttx92sz/MB9f0q91XVqB4WYb1LkZ+7F8F12Z7vmo4
klun16bUELtZSmSj7bVZbvYNdy4GmC8iRsnvXAemwRMGJRoaDMiND7S2lhFdKwrjyoL6P0FcXUQJ
YlEeTjszI7p2duk+AiaRISPaYMr8cQCyEfciPDag3Sg30chXblIJcO+UYp613UyNXWZf9uD7FeUs
gCMgFWbfdv2NRlKL5i0aNqn/E92Ko09K5pG+DiVFlPXoIaoZbI8SIvWoO8876KEwB5r2gnV/gGEd
V1uuASY2y43ePO2HKizQD0cemrKdZrUlHaAc9f9x1kOeN6HiBpMq4qsUiCBXJsIvTQWhZPKF4H8n
91voWnOR3bX326L83s01ZhbN85w7e0K34FiBa02a5PJ/mnVP9+gKdQuh7n2vUzbMa3nEjj5jYDWt
NWtA/n4fgumtshCLxaTnyalTKr8NxWe2vQ/P/FZQiCqyYVyD55L+o0DToqfvpNC8lROaIXgom57z
M67JFE0kuaWPDtHa/QuH9x8EqzAy+DvSB62w3AORhslEgvO3dHPv73VIZsgIOmvQcMq3AbYAXC75
y+7QukWBNSRpNSc7vtN/h1BdUUX/CW30BljWYkSz94nl5xlupqruwSN4BHhwqZCvYfyIWZy4/Pdf
+icw1RucmV0cthowxWcIAiz8k49zs9amRZ5bB9xMUCeFIolCVrrH6V9W+B9Alm/ViQbgw3Cb5PTM
BDw5PGRnTgt6zf/yB/3T09+gzwwc/RzvJAVyRP8YbfYahGneRx1J38BDkaYv2rQNPUfYfpSdjZd+
VeSdD3+DMPNZ5qd5ZfSMHvQJg9S+bDJ0Hv/7Z/6nVXkDD232rfdU9uzcponDnb41Zdbh9n/f06+/
+r/AcfloCNBBWJf80NDm9RIuk8f86b8//B92aEr+/nBmMx3MPmC7dFzmvxx6SqFKWczhKyRybUqz
Ao19C14JNe+y5yNvFWE60f5f6s6sN3Ysy85/pZDvTHM6PGSjqwGTwZgVISk03hdCwxXneeav9xe6
Ve7MbLvbBvxiVKESWbrSlSjycO+1v7X2KIkREmvWoYpns27aU6Ihr/7nP9D34fq/eLr/mgcjk9lA
FgrNdW47EQq0U8wjwxX+83PWOuvJpPLm/ylMrbA2cZU8JEv8oHGniW3Qxn1ErxJGPtsZP6fBYHWz
20lKsl/f3X/7mP4l/Fne/vo+2n/7V/79o6xo9sOo+8u//ttDmfPff71+zv/8M3/+jH/b/CxPb/nP
9q9/6E+fw9f9x9+7euve/vQvPnV5N9/1P5v5/mfbZ9331+c7vP7J/9MP/u3n91d5mKuff//t7TOP
ixVNTxN/dL/940O7z7//RqyS/off0PUv+MdHrz/B339z4+it+Y+f8POt7f7+m23/jn4jaKJ0Vdew
xHOPjz+/P2L8DkIvdQv9RWA6uiKjBRtPo7//psvfha5Ky9E0R7d0eIXf/taW/feHzN/5DLRVejph
SI1T8J8/+Z9+N//+u/pb0ee3ZVx0Ld/Ntx343+8laeqqbRuapplCsD9NFfykf3wEa+Ig2sLJjU0V
aOZDEprLqp+jYo+y166GZOo3A+kwUZpPLjWx/RrLPD/qpuhrpiZAnJvC0SwkGDN9TqIoPrEI3LrR
nAKelpdR5LgtEjHjiMaynvVlpPIdaamOQRqVrCTo6oLoyNnahOBez45hlV9LKbvnCL2N2DxD786W
VKZb1Q5RQVtV8cyazn1UbX0/NUwh+nasD2ZblHt2+LL+xSm6Hf2EnFaarhjPirXo5qHq2uSQZI7R
urFtFg9pHCzqLo1N5aAm/EWeMJMBq501WOCKefA4lQnlm1DEwSKb5wdvGVjDREEz9mo5x0+MjtTH
QMyjs6Ym5msb5QSqkiWckWG26J9OGDBLAuAt90zew7Wg/D1d8RDiF2nGj2qeILA2JTsT8lLmEACW
0dwpFfSTm/fxfAfzlqwHYIubwjbTwVVTdglTc4q8P4fd3H/BESv3TPQCRiFxML5VDHNAG5VgAKBR
5voUTamAPlKBVNcBmT4Ws8QhvWuXed5ZQF/rfkYZc4saITwdUyDTXpZHCEyxSzQtJIjHRJfMZeJs
9V40pEcaX1GXyZofi63JcGlms02UtO7d0lF725s6ld8ufbSeujT18Q9IpBRwBoiURMtq3UpNXkSp
yjXL9ZrPucvimKsR9JteSYyPKtXGV60brL1SJeFBRG15Z9mz/jiaRXPDQDIRXjSrUsGpoCaKz4bF
IndTMwlbTyaW2PchGn+WTs4Z6LZin2FahB7RPPl+JtcZDj5hjMGA6m4RlTywRH30NasXP3KU6Aci
jrqLqRKRtyVUTb2LF4WOmrkipGYiJuekssn9XFkqvK5M7e5GNLZxFLXUd6qm6ECbbGLe9e2i524x
ckkRKNJ8qylOcheH/Wi4qTNMx2BsL7m6BD+cpkj3Smqar7LJrYNU5mwb6o3OZSo159T0XChXyMJu
YeZqUXoFDSFtoZMowCZlK5e1Bl1RuHa7GLt2aIkzMqxWx583NPdKaS3I2YmvjrGyElX9o6ryAOGx
zFc1YtlTbTaT1zjlXmXmxqKHoFyJ2Tx3KQSXFBgqnC7CIG8+B1Hs573erstSNuyHlNHRVO3xExn0
Q1Oa+pRbzaVuqi8nbgMvMNAyHdrlqmq9bjHHc16HKykqE7rlCgbp1rqMcQ+cA5Fz11tsErHWI91z
gRzZ2m5sTrPble2ymeDbO9dMerFvAK5H1Rg5EPLIWDlLlx9taVo+j+HwWKBV3Cgq8CDDD3IITbSQ
u85i4zE65jUIclGVaHRDZbJ/ANukhdsxGhu4XcPoIy04E1ecJvrklyChzt5epijaGD0Xx5UiU2Av
7JFvkk8SqluyBybgSRh75TiKDqV9tGX6GRtFj/7I0BYXneC26KYNgrq5UQdT9c2wBgBs5MKaF1Xd
5KGZx3BpQfAoubRe36GWjBWqN+pG3qzSCBAeiSas/SLp+jVz7eWGTlK92Emz/LDhlAxXj5vhwPS1
3NHlpreBbgdrxrfxVxWPQYfCC6LlgriyCmBmlB8byji5iw6eXxBW/VqZmbqtU6b6GIrSeDsHMQIq
pB8MYiv1m8YCazBSJ96yMKl5MfVGcDvMzOQDet68KjufjInhomZa86LA+e9lXs9I2ImUm7ZHQ+D6
t7cJ4PxAm2P27yzToanTnS1Z0wctTecjBGX20uhhewhDVl4sqXLpqyHdJYWd3iOchWcLSvesK2m+
sYvCuK2LYxV3u3wY5lu1i+MVbMPw6DjGsKYVL6CMJ1nvlrRSTmpbqNXB4G46jwivxyTihPdSNMA9
Q6rXwHG6V0m02VMd9+UNlzm9y9PF/NGJgt0LNfpP5dVoN+cQPPpISgpghU5a1irpO8Mn3dXxWmHr
N1G+FMtqDPrYN53+kM2L6UULkeCuQr5powyMeRy2Kl2WkYCPbMmXS7B0VKABENWz7UyGP1d0Znlk
GnuZgei6fbZUXmslySfIdb/TcDwDszErumRACev++nfLODZuOxrOdZin81bXKutDG6N5Y7H2q/Lt
XJ89o8gKdGBtYlhuGhiBZBuSemGG2WYYed1XTc2QQbMATdPxPnJaEbqdQiKgDeu1c5Y5xKzAksI4
CLJnhcD3xw6p77hQ9aauJmt9X5lB3XtFZGi7UDU+21lNVxg10necn2RZLWVSPYJLQdCblB7Fyqkb
eZwqO7nR7Xa23ZazVUT5G4BBzG2cJqfEbMKzUbUMq4MlCJG8RtBGBERkFDBGQ/HnsCjvJJssu91Y
x8tDqVO8uVOJm0JtG+sJIWl4JJnrE0dBuWzioGWcHmbGWTpt+BP1K1wXVtQVDK0mAI8Wdot0Xmfy
wXH1p6SR44PkqHkLJrJwvYKWHfdGqqK4ykRUj3JOsp8QmKlHuGm2yqOYeTB61muU6Lq1bZLaOHd1
hTDFITqFaGYsqkr2SyWGFycI35Hftzxa9oFlwYmfYz1xAei2Ra1d1IXf85yU435GZBMZS3dUVDQW
c43LrkiqWQcd4iHZEhouDiy9ti5DQRaG0vYs1C6cbmdHCUWHWNL2Hcz3hHuGXxTtzk5HZ9rUCS9T
hktKsoKEylaF0Me7MOCeBnLg1ZobDm6jYHwEuMb1upDsB5je3GbSnB5TKIoVzg7hpllBQHybmb4s
hfJgT9KfzBkTi6rbd2MLUd2MIfWeESfP2ozpYYB08JuhqD6B2NLNSF6CH1JubUGInBdE3PkcaFb5
ObT6tB4hMtl0BmZyacy43hKNRWGit1sAkugYlf28BoWuf2BHXw6TVlpfTL0xMQTiXOlNfMgVXveF
XmvvczETIxMntg63PLRG5M6DEh8yJHUMS206fQWBOh6XOQnj1UTK3mm2Gg6ScSrfAZp1f1RaxsrM
iTdjPsa3FmaXNcYDZy07LV0viaxu+sBRNqSi5p4WmBbRsdNnbi3tLZabE7uTuq0G8beaNfxXdkf+
tpyt9Fh3IM5zPx4pOuMVYKB5zgY92wYVxzr4I5laBNmx5uY4d3RsgBWV5pxlGLbrvOyu2H0Yy/sS
M4Hh1ZWqraNaOXAmwpPoWRI95DXnqluyLyv21LFPKCOcejlIuKs1Ef/Kva3CVb/CxdhyPwTthG2i
wrmKvmR+UWTBDAgj1554SdWbaey0n1KMYb1f8MjV8Fup8zn0tqatl4a3UWsO48XJhIT86pcbtVVu
sNaKe4rJec+Si8g11DYldjh2qOYAoFw7T+IZk4/WBu7YCOMhS7Vwi+uhpaR0gtXYJQdDVNaJE6Hz
RR3mRyvUB8iH0IhfkGmMo54reJqpM5dT05GA4FYqo5OMyvpSwv4eeV5FT+0F+tTU83CXKgDf7iwt
+8ZUtE51K6tYdKa+prqCddOa1aQV2WXRLB1fNhOt1yKN8qPRYpHxWKUmTkZJhQK2CTpPsUosURRa
5S3st7C8Nm8Dy2WkFC9eWjfh4oeLCsWTBlX0rLJf99BUFXB/RFDDPpSUGKzE3ZVplp8GRnwZPo/8
Rh8seUcArmlQgBGg4yV5kX+CUWjvYdXbQCapfO0jrd/ZtsN8z7LitPRgnNPICwqkX+bpNvlABZn/
K6VEKvODZbQfAMAhKZu0mf2JNdBoLFe3Qy1g75wMjyjJUyslcjRvZrXPhlPrDcGncx2dUXNkm9Em
u84hppg19Xp4q9fiq9aGcBsUpbKbkoC821zZqVW0NUV8WkpYhcGq8lWWhN1FHRt8HziYNoEgdy0l
z83LTCIgry2GlPmWC7F4wCVFSW3Id7K3RPGlzlySOFS2ujWpLr+I2KVFvlo3HAWzVfTsNGPmIYs/
YM+fXY0QSYWyw6UdHNdN0p1p5zGfjTYZom29ylVla8Sg5jQj70pgHFORgBexVmmBbHQZbv/oSv0Q
qrRmbIxCV8TztIILn920jLoda8UWPx+1wWWh4bIK4txg4D50ZBr2fJ8DuRiWM2KcJvoBfBOedHrL
h3rV9tEWPitaEXl+XnqZ3o5GTih2pC43PHvmpjICZ8WrhwTGcW5wQTq6sU8A+++Dyk43JhCMF9a4
7Gq1xzBpxrDYSlUYOJLblKJUmYcNMWXBHQyGFngA5rPhKU5v1yy56pqjNfdJ7PUZ19duMgkVrkCy
GOawNRUZPPWa3r+wPqNKvCjKaFiSzooPU3uljhZ9GO4yNclBosLKecrMfHrrjDA4tEztxLYJKpeC
RryEY9WHfgddmHga475pr7Jo4N6qwin3LcNgFMtMwuXFoT5jdsouQCvV6CqNaakbJc3avZSyowa1
YRwZQ1fPTM8uxsytqHb2A6YTceCAgcCOK3s7ZZgyKgbvtTVaPh4tDH+t41eaOvzUZ7BdqlPVPkFu
2lt6rKLjkauy19m2LYZzc524ZRMMP3iyYi8WFbRfnkeb3JqszYRVxRcxLZwOqLVPFn3adjYqgWvD
Wfqx3lQHnLgIDPiCxqcQWuK1xJi2ia2uB2ySrXy0KVxMhjRkOrhBYqS/dOn/17raTfyBH7P86v4q
rP1Ji/v/SH3D26tqCF7/mQL335u+ePuI3rK/3TZvnz/b6I9q3L9/gV+KnCN/NzWhO6rN1FLDE8qQ
5Jci52i/I4KZjiM0jT1711jOfwpyzu8mRjX+tK5jNZI6IvM/BTnrd0uozKL4ctIyLKn/3whyv8ZE
fxDkIC4dB5eMibil417V/jLC4X1XzTF03A7LW5jQF7XpWTJY7FaEKnezO019lmzzjNG5KzFvM8W0
i75elTLSd4ptJr6lUfMtUSEQ4tR06t1hivnf1mjj1yWunNoNYcAbMkKacL+U2J4L0ehwqzTZ4akU
IsepZc7Vq5WpUbEqtbjABlJooeWmIV26z2ov+dSOCNFax5zUtavBx2qoN1d57R3kN039gIUMzDPx
plBq6qG9ALc4I9nInErbqcSG6pGXPOvbemI3L8auwaBnKgb71tBrpgwmigUYltDCm0I1zDv2cWHk
TOtBmi48PodjrdQtnkU7V7+iGEezX4e2061MUzHvidw3SfCmy3qpzUzvaWqC+cOwlO62wpu6aifg
J89OqrF3jcYc3iIQlJ24srhuXlnxK3pZyzln2kRZlap6N40Wsci5bu2u4xaXFAQKPjtho5draGMA
ra/PL9oY2rDGi04HrqsM/nRb9olnLE1qwVYlJOhVrTRu9Fwbb8ZpUQ5GzslcL2a8nIwYG/4F4zr2
rMac63CNMdhwnoeuqHd421sNaYXoSG8prvg6EZVKmbkZxFG8AzcS6tm+XpfUZx1V66wTFhLz+kcx
y3ChN/gCrKp60bEZ+O08XC9WtENwLjws4aPPlzEP7Eaot3aK7+6sTaxbxesVDdo5lHY4uApDfy8Z
icPUgoI2slen+y5Wv5KZbNwCPsEbWz3AzEHDj+WWQJ5a09dg3jMIZ7CcHHmNBjBi4dIjd+s41ebC
DcWE7RSDk7kyYOovgzMBFCnM6RmjOHuEhdzHWnJpEzs8GdnwrFcGnaBVHBvuD892xKeW57tiaHbj
FBYbJWOJBu8E3aM/in1j6YqbkE1F8HDSvM+NStkBzqZeYphcuhogMzdRTZ2y2vdWfYxCxfSwcqBf
BpSKmtreAB3hKBvy+phFI9w4CuGnOZA9j46cPzMbK06DkYptP4AlAafMsNPI3cwSw3NqV9I3sMre
y8Ys2aNI9ICZisVfHKniDY7U4DHMpkvaVbWLLS3c0RYsbi1lsyf8wXBjhzhMORmAeWXyXmqJccHg
lq5DGHXQbj24xk+Zvong6GomlcQQOF6sdf1NnVkLMHtENmMyi/4hi6rboWo2w0SbCe1PKF6DxeYc
RFnrieW6+UvExuqKN5dCR/JvvHAe7k316kmQyqUoqp99H98ShNKxEVZD5uu6zoNol+eu4ykjJqBf
RXzErae0eDGhQTmMjAcTBMggxNxFVv/MSA3W+sK5VZYFai+JudPL6lARWHAFjGD7HKW8OjC+ZIGz
KI9Ur8aFdbrmymHLTReF0WboLhkKI9NUVr8bQItUd3JNmkqLykOJU7Sg4zmUqDdKGbvZLJYXhe+b
WKFg8aPMZOG1kYw3dpTqKnGSOHJEebG6INlnIgfXVTNsc2MjfducTD81puKuaWOYXomSUVn5ciJO
FH//nE9iizcKaXdQBvCKRMevapoFEFBWK2j2gT4/xUkHIWsE48lx0sq3QL18JxLig4zvr6o2jBXa
eb2frMBYR9ro+B02PQ/Db34rGIy4sJeMOjIjfS8rGGUV6Z0ffhTFrXklgIFSbYRjxnuIN2rri7m2
n0dHDz+rdBj/q7UF1neK35/eTkAuFs4+VarA3s5fk7fKEtQmidRoZ+sEqq4Cbbza9eJyPrdFbjyO
ZWdyxpVxugIyWtDC6fwfilqZfQIqtc+eZajJcWaDruanuG62im4FKsotv32vtFlZ5sIDy4qUjcCu
fQJ+c3oAQhF3AmRxPE/w9A0xd8uI/8BAJpRqgR+MnIBBHCqSA26WpU9vIzviiKqrgL2riQFd0+ld
+64YumKhOFnPIHulh3oyE2wqAY5dtearY/6wxhsnSNvdOMqZrNikOCwIx+ssyghsAE3ZwuA7e4ed
N8wG2IEIAwlC7QTdE8J8hekH2qpBoOF7HDAAdtQhuF9EspYT763OJoq7NNH3rBGBbWtbRETk7oAZ
O9tITbcw4QG2b4HwRX6UZmz7TmPBcvWD8pPubd63LTsAMnQ8LDymqtynKWlcU9mJcw63f4vMEV7q
cfYXo0nXRH/ATBVLn7hDopXn3IHxtnsFIrazxHOhVMZqADz2uqyu1ohiDK/UufMrWKS1EdqXSNjk
mogfOJEOg9O9lZ226SNiDQiiME9V8j4wa3AUzT6WWqR5QlmalZ0k7X2kspANfBzFM4a56tVr7Q2m
tC0IUnnTaqH7eQYl1sthDx19D6cZn6Igj1wHLvIWC/RWmoHY8VpJPbWzsqdGVmVAk20g8MrewgJY
tYMPU6HgR22Kl2Se2pWqV+/TGAmvaXDfi8Upthr35hnhQmMjtPiQMPL3pLs0Xyj4/antRBuuMam3
Ck4pQdi+3Wt4yIohdIrPbDarl8y0gHMwRzsmC5QGcaqWatA5lIWYnp1l0uDLcrV6m3Urfe1QFJaL
CBQdfbGSJGDiL61fNSOMTnbVGac4Kqz3ETrNTXGTGSSsGsr7EKVtjO92GL1C6+jMFdwQMpKDp+eI
fIYBhotzD5BVd/KLTgBg5MswXTYiA8TI6l7csIu4uelBXLHbxkX4Q+R2eK+awIpZwnlT1yPveXTk
lWVOsW9Ziv1Qk2FCU2lYb1S1qeR1MoXadiREex+zM0fnt6lFqss6t/R+LOpx9LBzGLGvNikUK+IF
ibBkE44E3HL31Ot0Ak0LObEqOnG84x4O4vCUd6HD5dQTXvtyWXytUOr7uUzyZ14t5s++tPotpVen
c0QSNmBUNb6jNGGINtl9sa1mgmX2E9EEk0+4TfFkiSS9SefUODHXG+7DxHFeCNPWHuLcvALEQXi/
KCklj6E2xeXbwq6xxNiz65hX08LUY2/Z43CIapOZGj4teYzSjNlv49TEGwdl6zOEe4VHjdnwpaFF
qnOavGYwwi9zMH4NVQ+xpWnDgLZXrHW8npxYgnRAJhrTj8ZAbnGDqa8jF0N4/taq0XDBCmS+IChb
Fb9R8lcxBYL6Ax+ScELstfFjSWsQSyaSr2RHJPc4vpw3rMLTg2ZOxTGhkWb6WujAqFThYmsm6pD5
Jhulw1/u+thYrA+wy2RbKX2HY32if/VFn/a8V0mCGD1z6uYfqt0op1FlYY7Lumf2FLMVJT3gGa1x
sctxpdL3f7KPZUE47Fr7+Zctn8g2xTiUqR7Saehq+KKDNwZYNiZiXiulYSrY8bJ4tZsmv0DKpzvQ
aAPzVh16f/TuY1KEYR0Hp91z6LX9Sp2HKVuVAQvQXTGN+o9OVnO6xe4XvaODo9vmQTbcVMnSubUe
5I37y+ZvU2OrZE2FB1zMcbXG6iE/gVS0I7x+T86F3qQbaejLE/M5ora0Tmu3IpyUx6IV0W0HPP5e
Tlp3ufqeXJQ/5do8pSyFbZyQhzAvCYPFFM094jVhYR2XodJ2saFhNUynHJW+68I8c0E9wlvgKKy6
2DbPczJx2Es1MjnFl0z56npGzm6b607m4iYSJwQni3YBxPGmXor+dYkM4z2EPW7X3PL1z7kL092v
FAKsiOFLgS8XNjyS4Q6w2fzS8WutfmUS5B1LkFZ1LCc/UAb4AKT1+om9y8voKQXiS6aoNgPMwB59
J7UBuDuFVS/MFpeOKP7EOSdAsfdcn+KExEvVabXN63+IOJjiunrNSVpCKrEJc/ECJRa+hgt+15jK
uEEnTkaQZaElXiJL7sekmsqzaVbxuY/1cFsrGGYBVEF/G0S31mO5A9ZGI0k73YtiwrBWBSDsE9Qa
KUCilI+aos3v9DEGMTNTzHSmLmaLyKogbk7NPM2aF3fOdDs344uuqpdB6eoH9LY69lE+SfHBXFDe
DukUbYdFF2/Wokg+NGfdKQ71aVeLMSWSVG9f+tpov6YQPmKljKV9KdUpv7ARPnyax4w3UToQiJU3
0AHegpP1EBZage5WVMpNWDpQiH2lFLtfyQ2xET02OK72ANhdsyf3XU02ZKORLRE29ngqnKg5fwc7
ZFG93JM9gUdKmu1OWoP9CuQzXRrKLaCVSQl2tEpWuMZCk+3YsJQ3644UvNXSc3d6OoS+ZK1TNvMA
oZx45CTNG7UejbdhLpodrpjypGrp5I6OnHPXbJAY6ScrKrCobdrQdWp4GqUZcxRVMX5IJtqfYZUp
s8t0nPFz3A/XipVz4o12FkctLfw/4iWG4ko6TGKUlEXJ/BSOSaa5XGK4PQcvFL10FY3tKh9Syt+a
Bxvf9LAYK0Xa9Y54k+7BFFmircxgIlNMzYwi3ITKiIqrmfWNrZgTS5QZg/R2P71UJctYzjl5ENzD
gIcAezGjC/Z3cB4xYSc4pUobqgACC8p4M9XmTH3BMnk3c6iKcPvpJRhxhclKzUj6r+ou/PjfpFnk
jd0c2iSrVdcYg3ne/wq2sCVmOh8/6PyjcijbsF/nj1Pt1D9FOto7FbvvM3a16Mkphp6kBV0dN6Oq
aLsSH9UGWrvfzQWhFwvz0y/4lpmO2DCThDzcIpu8q4+C8VDQrjv8LxteSfXKSYHyB6LmVuS+0OaH
iCmIjlJ8mDLEWmY5lXhYHC3zC50mMnSsvYwHc4153fCL1lkuwzSrpwx1ZsXovHQdRjwE8E5Jed9a
TvDxHZ0Ri6a+ZODivLPblqly2Sn0ix3U9YIotW6nKHs2HWU4Zak5PZSVLHa0jm1CNVuq51iO9soh
huWmzVSxH3jgH+aO0r9Rsnkbyin2CAgsvkpbFmcBPPDAbU8lnJh7LW6N3aQF3UvYDeYhtzRmU4s2
bSNhANCEUYE/wCg2eopFQAqW3lvN3Sin+pCEoXmMmLtu2cdpvarkkLwHRhJ69EBQu7HZrIJFS49V
X8S3LUkqyFRkuGAqDF2oYdDSQA+/mGk8BpOSMbAgAr3JjA213ci8gLSP2RDNsau6V2dg7SyWdCIK
Iqfxo7JOyUd2KE8Xm/lD59wUUTXuRBt/aFIGV7Ui9Y0GM2BnCOoBvd9/J4NYuMgPgZ0wVShI9fmO
B0kAWW4Ws766emkReDu0REeZ3bbDKLtSOhvuSxXtWsamsSqdjVP+lxm4f0HUpa0KDN+qalqmZsL+
/XVHiMLxW4wcJDt9wEXhFdcqzTbK8ARGYY4e2UU8uRJTKIysUa3TuZe7MTeC6b/gfrXvjOk/95MS
V7a4aqv8w7D/ipH3QT3l+MZ2c2NtkqHt3iPHGJe7ajCd9mwzgbZuWZ4gDR94Yrwf5pL+z7KTTvPx
lpd+ZA5P46QLdDIm3aApJCCRkgPFV79ZYpHE8LWKeK47Pbt1nIArbxnZi10rC7LEVZDLx0F7lyy2
LDydrvEZ+UNZT11nXPRhVD6aKKDw7u3wESyA1IeoDuOXLjZMlyPOvHHUGFHAHtRnnMLcKHE03dWl
ldgrlFjHn0lZOZhRh1luLolrHIzwPJZM1jEWd/eMwOaDMk3GDSY+XoeFyNbGlL1g11XvOj3cExpi
e/pVtCTTef4A2kHJHMi3QipVUj3ykVwZtX7LnuG3BCrBSr+qb2FUN2v5KW3Lvp2ITbtfwkV7tgy1
rnHTUOW72bVgn2A49VVI+NcWIn16dCKD+zT7ru6170rf+a76p+8OIB7S+UMUDUlA6mCfk+8+QetK
YxtMvNG6aw7JxvhuJ1CTrLd4ieERUgfzbKA/hoS27CrsNdivufDpgqNHSZxSusq1Zxm+2xdyLZqb
/NrTsPt78MjGWDZBNHWRD5iVX5JydtyEdaQsHKQ3IkJ7YHw1xqumysVGrxs0yqsiCsZJZ5V9N1mM
KaWbXDsv59qD6ddubFaQt2vc1jM7GHvatcqJ9OViiTZ9hZyq3oRc1H5VzJ0xPYNicJFEmYlTt9Bf
bkbTQgtHSK9eGIVZxacSWRBAESbOr87oy/r2D8OMf1C7f6R09W/R/0+PiVQlUwldEJBoQqf/xZzQ
F1YCsc3rJKbWuqkwmBzLEW9h2zBnKnLV3tV2A94e9GXgE8BytrMyOEZTGZdEGo3T3urCGjVtUUIm
3kpR4RlPx3u6nrJYmeikL00+VANLk436Yo4EaVQ6Pt5wjgk3lNM5z4LzmI2kI1xHoUfNzhkSt8YU
fBQKhIYVV9bOiur0TietBUnfSvaGpV0qIzoXenDrZJN2DIlERAEO1mzUu/CMGyc1X25ozOAAFRNL
joxVoZDts/S8smvb2kZxLQa3syhQeXeo26GS2a1lJeotpv7B9EtThA+atIoNkUuOH8IyhiB65Yj2
NqdEWgV1fWsD4K5bKpkO61yF35dz1Rl8MWXpfsFDXHu91rAiILeqqz2ura8Fc08hKbpb3RnapyUc
g1VpwI+ZAk+NU09DzthZBq8RU4XXScx54Y152ayDLmUtWl4rZE0S9MrMIunWiZwBfGzBI2cyt+Tn
a6zJnfNk+Mzh0Hh99WqwoRMmg39qnTlZRXqTF67sBwdWqAnugsGJ3nPNDDadDGNWmhTK/YQyglIQ
28Q2iWGfJTZhVGqsnZAWF+5Kis4scaZD6kQKtEyGVx8Fx9MUElWgqUgbJiCpflTngCcgNIi8GTs0
MyY50drqe15piyCDUNbd66Br8YMStfpTzeh0G6iLGpEXW3M0TWNyt7QdaWC5aRwEp5RnMtD1y//B
3Jktx4ms+/5V1gvQBxJI4PJUQQ1SabJlt7pvCMtuMU/JzNPvH9W9d1glH+n03Y5Yq8PdlgoKMr/8
hv/ArCEYMQG8R3Mm/QLpDlxzFnvgGl2ezFVi6lYeFKA0TzMYi72EZci+9lLzVBfVZ88bayTgaFDA
Y+ckWuLWepCIXdyMC/odtHd0aISpWXbuPRAolHrgeai9cZ4nGXCAl214njPp68hJ0dWFC1+vk6iw
RXNq4yVzmgU4Ez4b56mVx/xKnCdZLUj9XS9G5yu0aiZdmBdqNlLGCNluEqJ36RPd6j8iunvJwbSk
Ed0uNQPoYD3Hflj9OCmqb8EMHpmb5I+0GsYeZMPEP6kMTHmTjL06KvR9gnG0jWMjmq7xh8aiuIa5
TKup89IsPaTwrmcmJX0DszkxqmtUs1AaA9xGT3da27uZbTw1bm3DTI8eAWo+JWrdICJlMuQkV024
LMdp8JxdbVT9etctYnu6cT3FjIhQXLIPNZ5Y394PVCsb6HWYguGAO4tl6RJJEuuCTKDTmc9oiTpH
xE5uI++uydSpHh7OF/lXg/D/vyk3HBT+dzkI/1/IMEFUkPQHgtL/+W8uxxuSyf8tf3wrvpX/+Vb+
+M9t8r16/qb+gxos/9r+POz+n0/6Z9Zt/ubRsSe7goSykkX+h33iid8EL0k6lof4NFuTOfM/w27D
/I3/QnbMENqidbPyj/4ZdsvfYNGjJ+k6dK51fsL4N8Pus+L6z+tF6gZpE5gQ7kxHv/ti1t2inyar
ZFL7mOwSnH3xXIJ9CUy4JxtI3PWuWvIXcCk1YB0GIEa7zurA+zWDvpmTai0US/Q0ptFGZjD5OqAx
/VGGuiagF7cIbkrHntbhidiXHujmENqU05HauwVUC0QURADhEeho7J1oO3yzzOlW0s1qI+yIMkmj
+6e3/Iuz/02uzjPiBjiTBI+KJOCCOygyo3ZHxh5YvHMD5jINW6SWTcZeYRA3NfjxMAwJHt1VH8PF
SI0PbZEud/V6B5J6gQRdl2iFXthqtRbwl7zIkVvpYRl4hvPYx/ZtAhz7/a96Niu6fNbSlVyG0RJw
p4uvKpew7RASbfZlNVSHLkKq1+nqp6opcI+YERbDcb3aNpI0ZBhHYNChXp60STzY9GZOiP9oAfqA
4TckYMZATUL/hJcTk1JW3568hO5IWc1gDaws0NCI2GQZyqU2ZxUzm6ELnDpamFiL+0aDTRCHPMi5
kX+0YXtE6tn1AaSGV1Gpucjq1fO+tRekIsMvy2ixWguwyIZr7xAan26nNnsxEGMO2iF/Ls+iEiq8
XVzvryEuPpmL8/v7T25N/14/OLYEYl0AZeCoWG98opcSugC9OpCboRtAuf0DJXHElVS3DYVATjaO
vI3TDN4HLG2xbtDXF6Zok2hU0E89hxH+/icCZ1F7Tt16brp32zgP3C5Pj467dAeBQowfmWi6Jc6C
mJAS9nUxs6HLNmW475a80Bw9/jyOdr3belsbd0OQFCLz0f9iSMYQa48OcceMXzCPn1EODt5/ZmcL
j4t7l4B8kIiHuyOdSzqxjsgFRLEYmIghoJ8wBrwGTon/14CCNbJcQeZ0aFthO3ZbT+5xAOaOjMNV
j+bQJizk8e8AZE27yj5Jh5yObjfyCxpf2kGscgOiPNkiw/P9/ft++64tCINC2oKABFyJU+PnR96J
RNPVwG2PGqhBpAC4MF6rfz9oBZR32/RQBDSKxY/259uXjUC78ACokyogh/76yr0owrH3VL4PkT7Y
Dr3nkkl1rf/+9+NEulxS0hSG57o6X46A8/oqpKqFqTV5jnCUU+4d1WRXKoyf37+Ia72N63Q/kJ5H
ABNohHvpNlQVCkBKyty1EvlL6OBVTQvcA5KCWBsCfGxyT6OVGQ7oH5fGkl0Vdv5iQI98qEnebBS0
OHdmb2tglb4tkGoIEMvTDzlUf7r5o9gqFCogYbiPmtSQYJTOrQB0dSQBdH1AWcxkjdzbaUwvAtrF
YiUK7PWJ+GYbk9gi349OacKPtbFtnKgOy01Kc5vtwe8jJYbuzaJNG7Hwp2aatAPtsYqqLQHNRYG3
ib3a2gnRfp06OGSiZpQVdlgaLMmznZoPRb2EV2Gdon9tpi8KuO8BxKoHAqM8aJOHTo3UvV0OoUhF
IapbFTG3MR1UYcDobOAgMUNijLUd6vxZDqxB3Ay+NEu9kLd7jzGLA83wjPs2H8rE0w5jPIgAOueT
QY9yO67Re6ZE+72e7HZjaUgBgTgSgGq5WO6l1jdDnwnLyBf7+Zg8t9GEcnHTiG0k82abCIbSakXc
9IX4NFTQ69Jk4SBepBY4efoCR73dDFHn+tDMJkAU3Sclsr9kxuk5mvkpGsdhO7gE7rFHri3jAPHT
aem2hdKenBW1b4XK29IOcX3bNcNtb7XxjliGurKdPJsWr8NuZLLVWk7gnDbBBiTRyc7rz6nhPaIN
V7ANVednoRvvSX5MDpbB2uYmr6ZsFSMAsKVF3d+RYOwRnXxW0FeObY/GqubkbeCt7iHFTLBUTSpB
98pd0+QvJQo7G9kM9L+H66XIXnJIFHtQu60fWXzRdizoP5o3ockKdEHT+dCMb7OwwvIKrTC0kKzM
FwwJ/LBmnVfrkTlX5FeA9ms0WrMXLdJYsbzZ2YlebIybtnSL7K9DBoK9jNxyIxBi96cweoG8yiKI
idZ6QjtYi6vT5NAhRqmVFtJSPJtVkd9BuUKZatDczy1GzUsaP9OEqg7g0tS1DJ1Hvcv5jqSnJ5n2
5FbriyEzuG2lQnjc4PA4r915ZNnotYcIbpjDL4yTZzckZ7Qj88F0c2/fzfkzXSk4xaxwo2NrnBeu
WrjvsJwAYKB7hTTqHgGnx9ojkYkhSvy9BeB3PBuG+QA1vPXRRGdFWvVyU068rJ5+NRwdPq8qVq3k
mBXEKBAFbZ3tUvfQNIUY4hNtfy0ACZhsaxiBftUlz+cb53bJYvpy2UE4nfeex/cWdt/+3nsrexi9
VFgcE1vNieubCtHJIBl4d86MQ8LSOEdDAmywC0w3mHsxZZsGOj+ATtIsTOlThrTLCWBauwYsx+Z3
+B4s3ezvF1zo9oPImye0Kd2NnNKXRnLXYZM+n8MFsPSXbiKPdumfbMo04gItBXKHS8K2ljNgFqNr
0bPhIVIMkA8t5FNkyc5msI2Da4v0lFcuc8WGqESgoqpe6idbVKfz6YSVSLXRI56ATfviSsj0ZdbD
8F4gq1uQJG0TiRm7ast6Z09Ies7ej3JlNJuClQtzoGVwmnxpW/axpfG5A7E2g/3qgxvcKyd/7siv
1nCG3g4hL5e356DU24QXVAue0ol7S3p5KyDEHprcfqDeKfcJss5rE/kZly8IVjTuN/nAyz1XE/Ga
sEgIk8F67MjKuT1/Q2iUL+uWaBL7YT0KHCkeGBUQt9Z3UAvvNiloLuloDEKnPrkRdGVGyywbcACb
UCC1W8GV1FPLONkqxS8lygO1sFSUzmI8RzrXIphAnnusZpuIymAtIJqMd2gOd8GksX8RKF2ZSQu/
5QKnydFpv+rWt8PcMAHIV52WCFFrhF74T/UyXZ0jcYKkjp/IKPdHkBTsYNKseXEfnbxulg2/IbkT
ly7ZxN+6LS+gT/oaza1+2cG+TG4heDMAgXftey0RgTXMx6/niplxU+2aPGfSfjBUGMxxNu/NcCX3
zzzIdYVNCz+J3MSDTaTZDSDzN/goIMrpEXiwuQJyOxB96KKXe9MjoVjfbpuqJ5hVALRioj5VEAOZ
iA9sBqqCc/zN1+gYNnG5LzODjrhXVYcGLEmwnnHQd9ExjFnVds8GcpbsJCV3LVBf26Ikgy3Umg73
MOGCfkS5WAvz+QsN4eoAHR+Ab0xypWNJel4rZVc8p278gknFY6inMweGQmds4FGvp03oERezji0Q
4rF7A9Ijw1xB6htrADdmdZDnbQGmAPnQZgfqA0IkWnC3I1KlPk1f8nNGbmnTxIccBQCf46S5XVv1
1wmzg6M1ouoFsU7CO44nH88cQAH96AZVBV0qbToUrFBLBL4W2/pB1Uv0HDsTMlQmSMIdIAdaqNg0
7rG3IdWYkpeqqZ4wP+92E5XVdw0flM9IF9TXeplNflR3nxGej/bUOTBsQ8N40i0DrdxiLsmIzcRH
7DQErbLoB9wRdvZCmTRU0Zoa1EN1VDZdP6NHYnZE+nlrjSC0srmpju5awGUIEm2aRd2aRmztYBYa
V7oXPfdaPvmpI5CZzMCOiHEBEoFO9fWi2E6AcZ7dtcyrnDrzEbHmHy5ybLY9xugeYzWBSlTmr5Bf
wNoYytpWoW/R+cJMLY8schT62XEB87uceWKDUH+lCwlbN6ARbzRljuFM3QXCsY4wdvAbKpyN19dQ
M03wgINZDZvMNdt9bSgmt6kVcvmUD+v4MMvo+WzQHJvEMPqd6u2rHMWICF3TvzLwJ4eiceG0TSH6
iUJ+r50xSKP5ez+RPAOwImiB2gT5iGqD1nT5ltWAYUuGiI+E1rJh9AxINRSJhPFtHrQ0Bk7bom87
MN4leb7XxmyrKQJAq/e7CLWWwI14p1F8o43qGtW8ikU4fjH08Yomt7txkwKRDE/7CymD1RpNZIGY
DBFkvfbNhojOejJMVGethwhMyiZV+klpZuaXESFTT3u08RJDOzRJrK8genbtWvnAuQYptRCWkj55
MabK28Ux+ZMREmmqMp6/mJ2FEqIj4HvlnEBWKcOXMdWqrTDc/GvZoOFnLfrTADOY59I+lTiQbwro
dN+jhSkuJ3EfLNLp9llFEhxPzbKDSaqOOjVchjQH4sznOG5p2cnUOecigoNu2FgXDwxR+1rxW2tF
b6MQ6zsm2xRiW8shYzyYkwu2qEzARBesW3zLUO+KvL01js/e0GMiUg4PscuKCcEabjQkTjbok7ys
9zm4+oNB92HfSoOykNN645Fm90b8DKz4CdkOcmRbf2gx89kg2soKxQjwyjBiyKm6g2SWE92X+Xiq
Z+NPCshmpw82UARdqC+9lv2RcqZFHRwBlGOvRsgBGyShs5t05G7QsYVE7XVk12s4RRZhuWFUmfmD
26Fma7uPZpI913NxIsGY7hdnQvmoMW9qRV6jGd7JSBNJ3egm4GPpK+cM2DxE9QYRLzsGpmvPW0lM
b9L4XldG/Uei8+xL0uTAyJxjbrHC6pzVAKS0IsHimRb5yHO2HPdrZZbqGufB8ZF5iA4FgeUm1uZV
Es3bMYO2OLvEtRAt6SBr4ulWA567whvWIF1QrQxDTe7ddgtflhxTgMKCa5tilqiqQx4Z+1CHRml4
6UupxS/ApJ+U4hxqSzrPJvd5PtG7iSJsTXeYMuO3xTK5DS0MIiJyAoprEaTmrAU4JbpITXBmlnCf
CxDv5sMy0SBycJzyewQQKvgpqDf0412EhPdG2Dovu+zKfYcE8tVMZxLkaj7dZbLLPjX9AJ5TNwIt
0tGZQFRsl1PRB+dTTnVVeWKUQBplza7P7JbJGOIPfo4GBZwAc/mzMJ34h0JAekvXghkolgjY52Fb
1GusJm8Ow2+M4vgUVbwwjNGfi3AoT0Btn8+rn3ozQCo0uaJYfaEJwbfK5Sdk8ffSEw9lxDHZhpxc
aa39tTaqbGuBaB15w43d8EbmbD0DI9YnnnzDtiWHIihE9YPy0FuxOg9wtqGh/K4zRk0IYzQjMxhw
OIJkdnel9cAHh7pGKBW8p9Vw+RnZThzgSLDQpb/LFeOz3sKtHFkOw/dijmFWO0dczysaSuvhfPZ6
E/s0tsLH9wv/tUdx2fSROkozJnhpR+prr/OnhlUvesiq1Qi/cn1Ma0lldXxpp526QNkWWi2sv/cv
af+qo0FbU+gGUFrg8xfD2yEdMIFLZ4ivJXUucnxISXbdU1PTh0yZge4WzUAMpmdhIfe97PBlQyg5
q7/aze9uUz9iwIeFT0xtvWY2vaNrzGSdx2yI7nUxAWQoMIERuYKAMSJ7W4/DvSxQMRVuR87dRV/O
vdNzWQbI/EfSFfGLnLpha3cSt8Sl9EcN9KRA6vtK1lNxmjSDHHJY82CHsqszVwMW1Lop6W3SPU2H
ErPWfb1hup9690eqheq6ZPoP6nNNPGOmzpIy27cjNzxmhvEhbuRX3RvPZDbh0H3UvUuL7jRPwEGy
OfdhSxnrOmN41fY0QSAKn2SR2V+Tc6xndIDoBzscZpb3wWv9RR8OES4aexbebesA4/VKMl23sROR
9fvUgfbZiiU+4BPFwSebFRyCmTp6UvqWQaH5QYfsrCR5sYjpGHiuZZrEKNpXry9NMDH6JENQ12UW
vUEZxvFThJE/JaNcHVjq+s9eT7F51ZeKMW96Xw3F8NmrsaAwJ+Pp/dW9XuvyXsAlICTm0H4m8X59
L8xgdcpNRJza0HSDvMFcomGejBBh9Ti1atgMsTb65ajyQxINxeH9q/9iazEnoEEL+/I8ynp9daSU
KrMDgrBHTwOGOQ2dLZDJj/zOfxE06DILW9oufc83YypOU4AZ5BL7BbuybQ/9x1fp9CciBLcYN/yx
Kll9NHb61RczbY9V5AmDuY94/cVwjY1IS4puj+dfex12NMyTzlJH9ietHIj9Mccnugd0z/DDei6m
fAYZZAC+j6AI5kPyY8m/vv+sVx3JyzfNHBGyKyuPJvBF6KyRfk88vWbBZ+mfFWLDf/2d/GYpOV4+
NR9oKF6oHIJM0m2bIG3R9Xe9dRD5+hH0wtFkWGbt3k2cWyUE4gaaXQZVCD9KJ2veGIP8ZuXpFyTF
j7nufFGJ1HC7Gm96kf3oXHSDFztZbt5/CutU9uIxgFYTts1SZ5/J80jkpxPEdKd6joBi7gtvoE+T
kzzLhn3f6yVHphBH8D+nmCbZ72ZXr3JevCLMrWjpatWToSYaU+RxGywPxCapypkkw7yFVqc2AAC/
wzq1O33yF4sUpHOOZmuCqUlfAEau3PM+DbQuCoCEpyA0ohj2JoLl69Qxkzq2jnoOK2OlZrQAX7dg
ocUmD9En0UMNntHaylrHdudTJl10dXz/2Yi3z2adJNsWc2XPc+XlPNczhqmjMKz36KSAcbGhAEDv
x6JjLOiLASbZzrEJgKHDOrMbBv38NWmtIl7RVCSEDq3akGNnwUvoqtZ7LbB1pkTDmjfjTL3sWnS8
b2hJYCDt0gmNig9P6zdQK7ID29XFSnKTDKUvZUPpZRB0FckmSWkLJsXVfHpqqGo66qkX2F3EEvkx
Dx10A+X0jZYnO4jT9Qeny9uZKzJrKCcKweRed6yLyThAfrMenKjZo8B5BR6Frg0rISkH+cGFxNtI
w+jQcD2HCS+89stIwxQkxGgLR/GwpCuYkoQYYHJ2jdOVL/nS0uFw6Eola3e5mfAnLzPFzfTejIbV
EPljHT8LSvhkZN6Efxq9QEpAnm+Gjym/U1K8098+QY2hcQot9YDeq/bBLO9XL40BHgNQ2yFqvJkc
l1Suwljieg/c1/BFDgcDum29LVqyTrCJcGLG/sdaL80Z7Sf4OS8Yy38Qsd4GSAdYBPNEU5jW22MC
cCYKlIZR7/EB/svErGXLY+BiuYIcPX90NfE2B3Ic03DQMQBAgd3H5clbYZyrS1Ezv0STLaur2V/H
kksrcKA0IpsGLgn10jHkEK4V3WG3+lRNVXYjC5J7S0cc3zXmGwix0JAovNFSBKWFxJ4OQLMdbgAq
370fH96eo9wxCgpkp5KIfgkkUJAni3ZiayF3mOyrtu58YKxZ0OvUT7RRdX/Q8w+Glr/IvrkaK0KH
VE3YvtxJEOfcscL9eh+mNDabCvz9ppvEKYULeIiLjn5qhNWCkfXHlvbUtWfSqFx7hvTbNSS6Kt1P
SloIIYMiv8uGlkaoaVzRWjF2DallbVJixpKy27S7J7FQTZx7IqVB4YQ9g7vDgololtj0a9fxiwWr
9SGjooJpZCKcA0h5H2UYbCSh+SVvxALGnqFebUi0Cxk67GJnzaxDzI2htgMMpIqbRvok59lGlVv6
hpnb97USlknH5SakSI3wTxNoMaYA7bhblg81iH8ZNqRpAeBhJgwl+DIbcJckVhZhI0Km6j4rGGMa
1BI7YVsdAjR1xRlIkZt44pm2Od1smxddjo3r40sFeUGqESsEekTnWF9AuD4mc4K9udXi5tF14o/z
aNNC/ArMT6GuCsbdt3HKS3h/Ub5NYF3iK8kriBNdoKn7Os1QkcUIVjntvnQ4jPtpLP3CWbeEFQ/X
kfIwTnSX4g8LOzHfdNAnfP/yq/7vRT7hQu2xQTxSHBrGJb7Hc6fMG6Eu7fWcKVol1HRvZPT73ZxO
uNl41teytostFKPsCAVS9zOLExIGA9J865+QOW38XncK7PFYppxdTJQcBkBo9P+pG/1VNldPWkvz
9Tx/oLVhIEvI8DoN4jBWT3a9TgNsmuwpTcm9Xqw9PrTZGKTVyYNqRuurntt+rXsnNQDgtOWCjvmK
eSki74X/M/SAbfaXBX1mX7oAbPB5ER/kw7/ILNBadQ3XgLPBqSzXp/hT1jUwqyvTMa72iKzRFmJA
UFjrSNhgIlQnbMOlyxH5zAA96pl+dryACvuV4UF9PI9hgHMDnFIePg+j/pCv8a2RjxYK2czF6z9K
Jvp+NDOLcDCe2r//jt/GPReJKmmx73VqxssaqceDvi1ovOwhBeyNkPniGiqymXbkuRuFGckHUe9N
8uys7HyaSs5K8uBgX2/pp+cVo642K2R997S2a8jInQN+leP4PItpz6+3Zyg0EF9AcgAa6dcx4NDh
rIGWMYJ9jcoCGzDLBqjGRwLmlwfl+eZs8lr224oaWv/+p5uTMyRxLSuzfRKDI+gU9wBbiykA47J8
fSrvP/5fXG7d4iCVTINi4s2xk9V2yyAS7UF7XbVOccKfkojUsnaoHT/q97iXWbBDjCOirIQWRiNU
jq+/XqwGpo0qifdxHONwCDuLWKgcf7K8HaMmaERjRkYC6YEzgzT0kNhjeDAMrby1Ksv5fbQK7z4d
+oM0+7tWwn1uZIeAzDg0wcgeRVtsaq8RZiv33ohERI0S6Kk0Uw+0SsF0E9WTXZvw4ckAOZfZ9QNs
0vSY9qWBzSqaaFolCh8DtPpADWPFW+hzo29FdrrVTYSHpnDc0ZFsAhWh712IyLwCy6ExUcnuEPm0
4E07JpakGL1ZhkpOskFTMkyzCKy/jQsQahh+Xrqu38f8RSy0Z2NF2xlj0z/MJGropIUpDHcqNZzm
kGUlo6MjiCTQJmFO7Zf4fV0BULXBgSF47MuiKXdlbSVXfapQXiisEnkJtNzgmjTuAbWF5ITkzOpl
97nuLDRbE+FrdIevXakt9GIW489+9Ezg85n9wUYzLxN1R7gkYaiMUq5i2uReNPfg9ytPyznlQVCg
xLHWPTB8+RItxpuKXAoyu35XN025D+sRivsyW4Go1xcI68uHB4TBdNqT1zvKSf0kj7/nIsU8Eegh
uhYQBmwWUIA+Weq7BEjfKlW5Y4hgbdeuxM41F+0RQQ3r5K0fn1bdXReLR9sBbTJOEiSJjdBAD6Pg
gKme+0H35/LwAvbHhmIHk8cQaPSLpU7kNJBkyNxdrJa9imeI2eYHu/cyeJ4v4YAwtD1dGihtvd5N
VGE2jYDIBTCQ1n410Asd1ECZUcMobDuz4dkg6/F+yLhMCrgosdMiuaGeIGxcRCiEW/ECjfFRaSoH
GebIw15pQUxniDIDwAAjPc20EXHECX5rdf/WQ2aFU3LOgfMjgae5Scfl9ZeemyIfUpThd72sNeby
acvbxrwVQWUuiI/PsfY6d0+0e6TtkKF6LYcv7z+CMwLu537P+R7oVwtqGUC/K0D85yjNtlGOUJrc
YYGu+cPctAdYHopCXG+XjRqwWUadpf0GLzS85UFat9UE6hSjYPezljnL6hyrtu2IkH1fLO6T3qKu
WTYt2V1c74osVp/GeW6PtnL4Ol3snBo0w05OPTZf0VqOSjQPjGQ/et296UTYpgxa/kHydXY3ePUd
SWAt7BRMnBhotl2CKeekk1bDEbrr2VWn0VTTTq8j/NeGakCenS/h9XF+r4+Rc2pj/oLBY7j1Fn3x
cwPsyEIK5pv0IrZmHEYHL4pd38HKmn2ttxggiJcaLMYBoz8gZFgcIGxpPmSiMINaJcPVArPlAONZ
rdQidy8nZ2Cq3QYoxmCFvsgmyCWOUxQh64y91FDeFouvQnsT1fG0y1TT3k785q6WAxCLOFrtMzGX
C8f8fl7qr4tKTYJQf2UjBLtdLIQxoiYebkTidE9os/14f8m8YXM6PE464mAqHVrB5mWtVcOwhPMH
QANLa3onvaaQ5h9OKFB8Lgor3Jq9hW5sZ1ibRM7hVtDx2iKr7B4yN19pgHSvsEc3trnHNktxIL1u
skj/1szoe+qLt1zzKfI0QBVkImwhIdyhestDl/tMH74vaY1jZhrqyFcA2bO71to1oikB9Qm11WT1
tYc2vxsmDbl//MWzRf3rzGYtiAzMIb11A7/JbOYpiRm08QCG3H4BMu/ery9c9ahsjkY0fNCLdN6E
XywYIM1yFNJz8JxLRG7R03DRe+SvejBBPnKsCCpXbXxdoxOy1Zdi2pl6mN7GsouvBYZ8G0akeASN
xuJPQ0MailfglvnU74MXnsZI3oQLzGMDqMokr+YorfxmZnEOKbhNfnZbk9j4msfDxSwt9MXIkiT3
fKnaZnkQ2GTvjGYZ/jKqqj30Ji+yprI5pa0uA9zfol0MrvsLYkfqE1Pr0DeQOXyoE3RzLQHYAEUa
+jQIlwWIYgw3IJK8I2PFhw6SxwFePMt/8fqbQuLmoKAI3Iw6saWts2yHQFzoM4Nbte6K4YuNi5/f
DsRKLUZhZWsLJ91VTcdS6rT0VugVBm6q1P80QycH52Ewk43jStt5qqB3OkRoyfAgN0jAyCCmoUEa
RZNs+eCUeZOYWquWJA2FFVS9hvrXEbaVMs+KCGinq0CWpDbPT9U2EbayKt+xq/SDKsp6c5aiWbe6
zbBqUCehmf/6gimOOpLvYe+MgdTShUHzp5iw+SOlIkC1vSuCvnK7fTdO2s7UCg2YWBNfG2nnHmYc
o3GfDeFw5lXxBWkSwEcJh0K2tHa2cREm2wnMSq84rDGiBrrp6zg3BHPH98CPPd32ugtrW/WoraIW
ZQjr8ziYTygyo+bkOZ+xmvhBJQ5fjlHmddFpziECUnQTlYl731HtIN6GJhj+sTSL4N/7xTghskDn
am8xkN4xNicMD1xy8tBCeD+0vX1VjPhApJNiUajbl1W6zEqQwQvOTrhek4DUXA/YnIcwe+Ie4sVu
Prie8TaxpGyDFk/FC0zdcbyLFMQF3obcNBqb4JhMbD1AhhrwdE5JwSCqhIN5PXlWEkStRLq7VwfV
8kJk1phBVfB4nbFkFDAiToAeH0q5PQcVpO3Q1ytLAUowun3d8FUSWalPRUu4tsv1cLdDpADhbd/b
ZfVtXl9UVNohiGv2qzTyb+AX0RSUoEJxm9D8iN7kY+Vy2C2oa+doWe2YMrzgLVkhomy/ZE7+DUnd
JtB0NJhnJHWv6WuJwOgnGiuVemwXwoShEfnPR2udkWopN4qfQJSZgYeg1oMByBeMCIHIQ39hH7N7
r7Ge1a/HDpWNSq6naZEBBq/JS3D14agt0GbT1zA3C0KvKvr5uVxYQdlAiFgwaPczpdoDqHjOnoyF
3WZ18zVJMg2HYs7MXHFDtYM8DR0XkgAtZgqA0ew/f5sTKnAg1nbK0ajmV5anD2u02U7M+bH25BPS
WLRHK8kc4gyRNjFG8oFuWniIU3uMO929QQfNozvMv3pd5B5ah+BWxvyIHpFBlCFipm0F+BvMd7dX
UYtjrwGKqOxwa0nXr6mhu3M7IKbo14PRBv1cYfvVhN5RYEsaoMru7vNFfpGz870Ar4tqlyWOBLYB
A6fMDAj+rGJ7dvdDk5OyJKs63hopPcnjA2nKFTT2We2R6cQYvWzRZugo2nkd5931ryidvyZrvlIt
/n+yPv8XUjqx8yKcv8vnjNW3//xKr/j8m3/zN13rNzBGALcRHoZaa5lUP39rFTtQMSk5YdGTt9I6
XJso/83f9H5bBZMduon/qBj/w940xG9Ef3zC+Thpwd/8V+TNi/kDaTMsUOnRkXMZjDMcf32YSKTh
BljWHaDHaGw/x73rPi4O2gJIJXjyzkJ/tvU1A9PmUp+qnaV3Kaqhke3/9Nju/07WX4kjgPngSj9l
8bRaVpdkj9kClGuTCP36TnR7kIk2s73BYbVfkbvqsTrywuMQFeKxzxLvNHGCr03wIkQXlHB5gDIA
KgTJrgP/KdkBwKn2FaL/f9oxPWjEWmac2yUeMwVCo/d6N4dHgK7CnzFhpwsN/ASLW+D2FlJ5D3GL
CW/SiBILjoJME3WRjlCQh4FGD465gINELpKCW2xcxycOPgdfZbTuAyw5vGvZZza0SrHq0vLz82bs
J+OoQjl9q6C9bfvUumU/a8hFpjbRi5r3G3PL/MbG/YupcZOzWyfQwhMamuTV07NpdssPI1P2Iy1v
b48RCDKL2YgxRZ4BzE7jDIBONFbPneO2x14O6i62OqC4lSF8Gbv9jvFNdx9JE4BrKeYAEU1grfVh
StC3LHoZfZktL2+wk8eHwcJE5snACwPkpC6+xKOn7XpseTHyMcPNMpjiBJxS2/Ej+n5yQulXY6wO
LcnRKYL/dBzc1Rd3znclakd+YzX99dxpCfbwVhRQDdaB0zcIQfbA03azM9pB2Fkz4omye7QbvfY9
EhmfYWn8OS9H+8lZ3DBQM/64ptL1A3YyC1+tuV+yed4UUhtvcM1JH3uSnN/HsRl2qa3Cw0pqR45W
JEFTcWYg2jz8aIrUDcATlQ9W4TK4DqXWo97PNIK03vIZ31KbjzdWjG5yqV2jGYdR5kTJzMT6zjHT
tSGSUTUuerIXRSk2mq3swMF1ap/hxQG7Qa4e4Hh/SQ6YMlwy8HZFAAXjPu/B/ObMZhGCaEFoFQrB
AZp1ft3hukXO2z0lSJ3sy7arcJePGK2XmvbsLM0EMLScbwvbG3xvZD0lLKsdnhMIn5ltsf5J/ohU
5+2R1I5+X8QqV6kZw3wTATXnmpXxoE+mcd8Xw3Sn10jlNPUw+SPzgA3Y+LskzxV46n7Z11HXPeS5
Lfd5zkFtIaKL/DTzsAInv+2AefJ9NiflHX2KCPYX2nFln8pj3AiaiEjp+OTg4GMh+R6qsa6RgUMP
10sYq5d5Fgf4EiLUGUdULF7xiKLGuGFk5Ph8RrWF7SwPw+QtpymerGNl0w8pkcYOTFDe4J4KBwFr
zfPoYuqY001h7YOpSQ6qQ+o/i2Yd4xNM1iBtuwoxN9MesEeQkr3WZtLX6smB3VTMxQHanXk1I0i7
6c1J3iWtZn4aJqxES4rveln2NAvsG7ey5n2al4NvDdK4idz4ziPIBIxe7/S+2CIfPW0jveyvB8NM
vqNjFDM8mfqtl+MEbHgLUhjGqN8tjtk8RUT9g9nn8koBg70pR6s7LuVg7zRmnXcttw27zA4/RaVl
fhO1m1z9F3Vn0hy3kp3RP2R0YEwA2wJqLpLFmdQGQVEUEkjMYwK/3qc6bEeHI7zwwgtH71pP70ks
FDLv/YYj8sE7DPM4fnd4KZ54MwfHwq+7X3bL5G/5OVuLFOEXsWQcya65qVDHwPUiAKlEGRJ/HJe9
t7blHFNpRyNj37TjLpFq3iE6Bg1cRxNlbOzS/G6cmzSWgIR2eQqEXNZBX914X5LAS+cPsd2aTkHR
7OQMG5wTIp6y5M1xjeQBpkxN77sX1jYRrhtLMASa7H2WVjA+GoR0CiwsfffWtw0sFStJHwTzHFgQ
MRFpk8B/Oo/g9TJWp3kp5WdjVeyPg7Tje816aCAhEcLmocUqxVgOXetC24V3QhtI3K3ThD+LAkN+
pEiZTfo4VKeg6L0PNwuHw5rXmFIwf+D0QMfZV66v100YhM3frFZLA06lG/76PbprMtGXU1rheGhE
/VBJ473Vc3+obr5ILB3eJgA1S99cYYXlZhHUrrAvcj8LX4kQeGJaf7gUjx3DfOE/YM7+ke6CIFrK
kjpBm9VNbNgJVeGQwIurJemn2hO8dfVR5MsUUpBC/faPMLx+fLLy0n1OKcrTu6Exmi9q2/RXktjV
W11I465NRUUdac0BvbU6/mtluM6vTe52BodU4r6l0/ShytA4L4Gnk7PpLl0kxLwKlie0vNJCNzuR
uD3/adM5TxWONMzAFcwTnS3ir7XY3hNHYR8cZz8v8seh7+vj4FvZ88hq6llyyxdodC0EnakM2790
qjgmLVm+eK9a7Xwvc7AccUl5+yWbxFmgDvyQvmA/lFBudzACy7skuasl4Yi5fbYlSINK81NVit78
ycJpSb1XK55UItpPhtj2yeVt/byUbXvIK2PapfQyeLtGyUBsQjfQd86aOAdgNemWrOKwm13KoYaJ
wpdemkXw0CPP5adJPRnhFJxzVuZkAVW6NVWdEByigN98r8Mu+6T0daTkns5pJCXq8xnRamCSACLb
6iFf6bHd0tG5EswoAnOLS54Ja7VDi7QA1ZaGZaSPcvbmj6JrrFfofM4z7crlKbR6aMgOJZpJYaSv
jJiSMkGmE6pw+Fdw15pz+DMdCovO5n1b28OZfVTAaBQYj96Cz8FqR1yQ81r/+JlGIEAAogsvTabX
jrLTPFZ5W00bQdjnflGlPWxXgjrEB+REPXRa1vpAwdYYz2l6TPpaEybCwFl3i3xP7bK/ozCSMnbJ
YFixDo4ourejdeL8LPMW/gxJeVnq9WEcChF3bUhS3DFhBE1psNc6LwAQlqrsAQcl9aDPDWVGbolB
bLQPfq/X+cTII09cZ2pmNwueFdcGdFrCyToKGs73fZj71lW1bGMQv3gUIFj0Ud453RO/a+flWEs6
ZHw6Q70qBmHhn+e0p/2yXtISWabrP5pErCBavOVo5fawS1QHKFTCP6taCqhqit73Sb2mDxMVZTuo
d8vRlV1wEQa1vhjEqe51N437I82jpnpamONX4lEx5qiT7X+gUDlEgicWJa42esz5db2jCLzRRCeW
6d2QS3vFSplvHZUQW2J1H9zXbIjX/WKOImcUDfeBofI4BdG0zxPPvWW7xd4zs4BxVEztPZ2+Mgq8
0dqQtKIAPDGt5dpr065PUO/oTgvL6So9aXRkmIr8jFlYvUxjIkGEQaCETlAc8x5n8CSl029zvEM/
kw2LIkrrOX8HMcgenyV0Foc0/DtRTit3wwaTRC/bhYByYY2+lScbb8LKWE8eValBT+tjTt1mHyVw
Nw5U+rrHtSYOL1p265U/mvckOVqb+61607V07NOUTkacz5afHMIkaQt6j/LqQv0Z7FVr9Q78lWfC
w0RMCExYv8c+da7ubLMg7xAin3nbSI8HdxwbIkFZEndDQsoimU7EEi8dshQMMaiTfXlzJFYpyM6b
X3YsjK8VSma/n8RgnBCjv1rHCB/It0v6x1a7+BkrH34Db0VOf/AGm067NycXbVnYL8zqzi8ybm/G
ZL41ZhZeOeDac23O7plo1bAzXXvcudrmmdB18heWX0GU2fEfoF3YXKD9ETPG7KMmZI3xBqOYd8iC
dqKjsKnMvSKYRIrda5/WWbjgRgfbuScIh95C4/iXB8DkceEtvrdTkjV0D3Atg18G66n/oem1jERq
tuwPrYaTM4UQ6K0WOcP5Pum4FGSzc3b4hABDKH87CbN+bZDCtoKDBldqC5YwS/y7RRbyzRq7+9YW
w65Xdb8varsnYs5wc+m8VJ2F6nxeJHYxHmpmjJhFvE0gy1seXe0VeDorNM7iVdjlj5EED3j06Pa2
pIpARJg7utDnIwVmnEyoW/Wt8kdYw/oAlqP8nlgTPtTcvjYDt4CLxPx5ENDVT771G1cDDcyDu1MO
5fCpXg6O4UpmqXWOF7mUO4sDCaZUuhCWy9L0ILIRs6I9b2p5pC3tJBfB/jg9kxQXd1h5rXMVkLpT
GN5UBKqxQduZDK6MANjmNrU2/TS/NHyZdrAd6kgEC9EysMnEAAEqpws32gQb0ZmGZPfRtcrgNJk0
ig0WirxPinKf8G0/j4uvyZXWncUVtCI1TsMcMW8eDUN39GDTm5cUAiWjy06BGvamnGPrVh7gTzzT
ZKaoh4y5dWSnhNbliPYDfe4IIsVABanGX2vgVZZfwrmAprxJXa/rolJ1Ln25+nBjKaJz6ePqTgHr
cHwuqciLY7KWvP+miY86aWqDLQ9WGhQE4ywhNXyYXuNi7F+s9w4TUxS2aXFq9DrGtDSnd4XhuVtv
DqfDOuX2L2RR5134a/PEDTg/Dkk2vakqgVBLZ/KTNY3ek1pbxbvSCyQJwE5eCC5KGKrtujW5tH1T
ksUIbcF4IWdU/3FkS0OkO1x0m5/7MvFiwuO/Tc3Z51AKB+M2GjPjpUVnOtsLCnozh2htS+EfNQbV
u1nM4XOQ5APpRUCatcUFdrptFXsHHd3zmwt4I5aPWR0LM9lIFK0Y989TPmnFPaHqvixRuXFJpVDk
MuIfe8c+aCgkJxNYz7ay5uF+IK98wm315NUSX0RFTtPt7mv7vTX13ajM7eoEO3sQn1B9H6rZtA5K
6mfgn7vUKJ+WsjskyrodS2AeEqumY7Ds3rs0/KC3Iqad9atjsREVnWqJilXyCSB7eQgHwYt9dqqL
q2ab57irj2GgzgE01VOq3fUsOkkRhhcUh1KxHl9gBapcApk0Qa3OQ5HunWl8Nh1ypsFS0bFAK3eM
caNVPBy1OJoew9UqS/XtkNW/qNHP1yibKwEAl3ekDVQPfrsTe0Nh7qEWJ7ta+clZQ1DZGjfIaWgx
6QMXz33UPzvZBNqP1z6AalWoYp/RazCiK5T2YXVKmItW5r02jT9cWL47r2RsG965JL23nr1wMKqy
JP6skiW4QZtGb7f2WfNmzCAMA4cRZRUYlRCHmrOszem58cur8sxNvnj889NNwslPQ9n+VNqjXRQl
qQSBZVZbXvAnk5hh21nljhVTcwQQnUStowkrwky8W21rioVvm98Of79NWo9qiGiLdT/IPLbHCRPN
VY+Vt0vMyYorn3RUStfi1GpzJ4AE0tpHHYBVfzjCMJ+mJO+ZcHS4PFLM4NubwBC0ewMS3s94TDfz
bPKjhxAT+RMkmNkwUogznXcpqX+PRSPmi78kwYVI8l2amZi5rB9UWLnpV/8Uhs9Y3+JMOtclK440
xP8GxPqzpJ0gyY5yFzt2q+ljFWl76K0OAPzYGNHs3aLXtmFua6Oc70cFjWTjGxmMruSgoA1Yfh/P
7hTPZqA2zOGHIKC0PfXLLaftj5jte6Pywj1E8gPIiLOHyr3hrrVrp+mTnXiK2AC/4AiGq3ruaHW5
dxL5OVLPH3W18eZkofdQ5nr4MjynOfDrGMy5tvgMEEenZRrjimI869C5q502bnLMrX7diEtrd1RA
ejY6AT8kcesocaijp4ZELHGwWG8lHuQ4F0jzayd33KGjrlHRUg8/I04EiCiabmy/S2/tvh19nAKt
wqbENDuWSkdyLl/od+F66c2U8Uzphly0vyupTWG5sS+q5cNoApdvj6G2ILdN4rNuMTwzZPc77Od3
eTJlOLOHK8knrnpOJq+yd17zGuM8SKcptgrqR2yLjRGhPJrT+2yn24wugMwuWOVZ7r3GvhMH0CkQ
K/IkBk29tXtzKzooPLQETSdXXYzQPDdzlvF1rJ5pJ9+MU3VKwj48ZP1IH06oO+xiYxiPtVW+pG2t
P8JqAHAITKJg4NiUjT6IttD7ocnsalvopT5S6jRS/CCsIxF1+6B6a7qi66a/cL9gVfCdL0b+F6cD
w3m1G2KA7R+fPdfLnDH+WVx9j5LN0Laiq8QQ2DIrAY7e1H5wcG10lWoeH9KSdcs41s2bY+XrQeXL
mBIPDZyt1ZAlx9APa7xZmovtszFjbEh2k7+K51XOBHrNVd/Vq4sYktuiPVIJO8adobO4CvXF8Mtq
E8655oMy031jJ9mW4APFwS0Ak9fJ0+49z9nWhuxNoVx/yRN33dS5ydbruOZ2sOX39h997xpHvDHZ
tnZMrPXm6n9TmtQfpnB+DpP8GVeG3GP2aPZd2Kg3AzRA3HrddXTAPuSZmd00K4xCiTFuU8557smT
wfIVpoFdNE/CnKbNyj1hwQAO48doq+Pa0D8Ga+XTqyfyM7zFjyJLobiYeHRTknSsiIlq3CjefGaH
WTvBBWsMoRT2Qo1P7wf/XAKeNJaVZEPVen98Vl2bHq/plQ5h/Zj3aWvRP8U+PDQpI0hQ5ZRtp+9q
9cD0BnV1qhyhm22f5Um2IQgArThZdL6flVS/unxGHVaOt6u5aXKhUmOMEXeKqTMiigOlx6Y3hS4e
644mwym9TGI5V0jDb4lNoULeMHrQPmpZLyFFxgvBBKX6DXpyftE9VzI/aazDNFvmWfu48jdAcFe5
0QvtWSRBszNQ+RbBrne2pp0NF2Z5+y1D6Dpag2j/9rLh6pi4/WXuGJgqwzEf7cpLH/B+OOR5uhz7
MKVIkSVaa5tmIyfv1JTexaQcuOPyR7EPEMOcLcUl7Dz7mXap9IQj1X7hxV89jMKR+ymF4Lwxu7bd
23nptDttQgiGJtfoiOG/4eijbnZx2+lWETWyCasXW34FgvfFBqeneqXy4G4MSaH7y1xdc/rCI0u7
PwmZz9/IqbWM8Rwmf5IiK1+4hnzmIfo6VaqPBExe7FBN8XRbeI3rfBjWhbox7s5nrU0eV4/FVyCq
6aCNtfpqvMw/BI2LlJkmdEbUBBdT1oMYndV6xRCtI3SEAfndD1ibKZu6QNNlQSdGRgrcZ3WWN/eB
csaoabW/H+TwOi2y5IffvWdW20YdIIO9sj0BEy3NcB/17S83DQwJ/MyHD+KNLv3KLvTtxmOwSZMX
KcPwGIS36w5hIpDQZ53lOS88nZ8W2/+bcf2HD1JSncUKijeB9m4O5SB8sYqSw6RfKSkZB/oeqYu8
jv56pYs7fJTQNSJY81SGDvY3zAUeRjrI73TJ3bgjTQXdYTG+JpGm26QOf4WDFRxEI6cNtySX5quC
S1joNAYSESWGmtLjA6cuo7F9yrg1vUK68O5ti8ev8g1aAHVgHBjsIL13xeNwSx5qhKkdGbeLxUW9
D4Zp76xsJbeTvfZHqOfG/bSQ6efzeJFEc242V+SVTtGYZYgJ/Thnhd/xl8fZP1jOg7G25oX+1HUT
JDDkrQAPnKVUyGZIqPNQ6ScL0s2GJhewzvNsnewkfF40IEdZVcCXLXNjeiCRJz/c6qF4qYv8fhkg
WktBy5i2c/B7q4JfEHkjZS4CEMvO5obDu5DVqLsd6L6AnOCr+kyZziDZAnQuDzNxGb5AvJCtsGte
l9AQf2rPZ2tZyzDiYgFFCy7vkUJr4BZBU0tGatVANa/yu0H2ybVb1/W0DPgFgpDKE7pDXr1UPIo+
J0Xphl8it84FDecB226gGDBLusV5DLkXnTM5UoiWxVnZvcE3/vAmcB9N38gIo+bGUI8El2S8IrA8
d1DMIxtG5hN9Y9257eshnlIh3yitEgfVzVxpdF/HA5l8uvH9uJWNu/WDxtiXQ0hDxKNGa7pLZ5mf
cr5rX6VOsgSATcO1G5uKtRk9vgG4Iy7WaKOLtbTObMF8ndLJpRbK6o44HeqK5Mua7YMFSXAkqIDZ
119uSS1ymRGcBpOVIwXmDh2nfIxBab+ZLW5xLkCNdwx0Uf222DXw/Rkp1eJfmp+qYHkdAlZUhWHv
at5vd+EC5isyMLZ9r4qLGefh/JjN63Sk9VrJDcQK88PLOuOFuR8MAY/ym64KUiTs2CWBPdk/8F7o
odWMbvFL6HD6lv7AXMfSIJwQhRTYyjPVGplie+uOb3jrsofJ0HyNF8WHgMY0y3uI49gf1iHjmlk0
TvhSWAKvg65XXledOX3OZC9foZjT2VRQMH5XpR7984V23ZrboF08pF5gVMQEdQhxNi3hEvlB5jb4
w/zsFZZ1d0SO4hpXjXa2Y6J2D/5YZpgVaoyRG98uqdVQ8/SR+9W3pEcyGpbhm7H8hqPJ6jw2W/u7
4MKH4EYpFX2+OSuRHmPSebKHjDdFzf9iepr6u0XUkiul6X1UueK7xC+b/Z3hiP63U2CgjPBH1Ltm
nLw/ORdybO+uOAYJJjpUVn2Paweg0YQm3Il52DXAdh5HHNR82/2UB6X1+fRGKZyDQXsC+pNcohwz
0G3TRStQ70w//HTGXUVWjQZboLmm7p6EdpEhi8SqKNTA6ZkneXE3GEI/s1mTuJXLaF0n6hsDoy2H
TaIETMFlzQlq+kLL2LcS73eNE27awkJrT71RlK/2EJKZZCt78HXhPBSzoXq6dYMZKdp2Igcj+ji5
GAqdFBtmp7MdiuK+nXmA0zX4qqSZ7oI2ya88+O12hUF+rO3afjAn+RX2t6qkjDvtZpynT7cZxqiH
DbYlxXQd5VTEdlPigjHXkf4qG2IeLTa4Dj+aLFa92W4cu75HEQR1O7bWa9rQlr6obh9mwfqGQdSM
KUrstmMOM0Bry98kRXdy4BljcVq7A1Og3PWOkTyNDXVK/ih+6WSQyzavsJKZ4dTd5QHLL80K7MlV
iSo2eeW5L4hN9HDIPHmcqzkjUmfoz2SwfoqVpYOiwv6hAnf2hjONN6IKTEJ5YfY43kIGkyduFfWg
38lKcTCsUb4m4TljLcnUofL8RY7m8OTbCD5bjDpAnTBxZmcvXG7FNIFrUZzLmewB5UtWRz/rRVlE
RMZp7+qQAa2+qWrZcXFJWfGw+NvbSe0zeGz9EBJBgyGA8GBrvmlajzYaAi/bFIBxCLOUXGbztKX6
/4XJjFvK4FJsXTcOHTv5tCuXIosXZf9Cf0vOXERo9+M2GZUtA82SleLsNbxqp5zStAXtD7qg9N59
Y93eqOi7PHOWQz8M/kE1TYcJ1cooKuvNJznb0x6RgTXn0MwNu5ulafcgaJJnOWkKjvha8m9FFPTb
yj0jTVtXfqou9wMw1HdWQgEO6lpFmd7q29gommC90MXm/12Wqiz2qC/MgKhumookgm6Bu/L0sEt9
SVd3fHDG5mqka1yxzbtrwacc3cKnGY6a2xqsV8oyrjU9XFTIKuPuVg6Hw7v+287CoqlOIKn4tTP+
KbAO7AajSA4O9V6AJnoaNSwuCmfX1IeiXIYvNWHjwaFogApOvSp74/P9tdhtvtcsETi60NUJrVuM
bRo7Xd7TrZbLPcg4lW1mS3rd5mZHZ7mDfmfGrusYI9zRUWxnBXiWNsbpvKyaPtAWftywOMs1Xzgf
m9Yn1CoZDDqnPvuV1/ebRngcNmjm3P/bRWZPZLvAW5V57zw4KW/ooTavaA07yjv5v73l1So89Wc1
yuylDzv/DwpcePFGoq5j7jQb5u0bvoGgZsW70IKWpyk0MBBkH2qr7bAPVrg7c8uITeU0v+Ywv8HK
k0nZICoEq2DuDN/sQJk87NZ5SG0TXpUJlooPrnxA+NfHWlZhs+m1a57TMuOrnQ8ITAbmymowPpNO
d79CyX0jwsJmntk+c9pMuZd/JywrGRPcWeyd2cqJ4XghH9DYvrMY+szk+pvcVMExLrpXx5bFMWu9
FaYi6aUPi/nzfVhMZJ3RNJfD3HFPZ9aghjDHL69gLEyALbNpq5SuHoOlhC5RBeJhKEufJE8xH9ZK
gTNn0zfsrD6tXcJKM56MeZMnM5PoYERL4UT/HHAUa4nd6nePKF7Qj7PaYouR9voQGBA+V2kEe6PV
VN0BRLn4BsrrwPvoCZOHQZTby2Iu7fpaeKl7sMEQfkBtdV5bNSi8DrhWUHtMzByGO+1Ja7EfN1Rn
3ef2zN7J7MoAwWvoI0JocQ1Jptj4QLgIoi0s2qdMgTWBEToYln0xx+KGBqc7FJ45IfMYlBdJrFZU
28Dv/+ZWNsQD7Eaw8jl2hk4V65a6jBef3X6UmVa4F7xNt+i75cUo7Ks30YBK2b+3saEy3S9dWzPv
a/17Khza+fpgDh5dxG8qx+C23kMyKZ8QacNn23D1FQFb/AbPVJ2NRaCrVeZ0yjt/AeuRFmPk1DJ4
dhdUxsUZPnr20PRDjN1652Ra7XDSdHuOUvwueDYfqLF+wrynLpo71yEPeyd25+CtLTsZ9znFdlEb
6Py1xa9znSftUXs3uvkb7lQ0AiNYMTdlUxM1znoHqbqKAJBMDlW9/rGXai/LWZ68MmMdmQTBCTTi
fZOoMh6dMjjQPl8d2WVQcJE1Jd8IPZ+Ixq2PZKDZb3a+X0ZJsJgfSdXh+iC08m4I5ynoklfqsOar
BEcZ+1BmWAj1aVzOnoxJRT1KdMIMN9SBBCrfnzBcznRjsnktdHWv6qmLqk4dHa6zj5WfsTdgiLqE
S0lzHsOTc9f4YX1g7/cd9M2Lay7nNEUwCgzvVMFFpsE1SMcD6XnzQ3YtcLiivOWM3fLVot4T8DSa
NEbo6mTVYsSZq/CEuJ6OM8tu3wrFD4pOUZidpU26tEOoNhEf+tsr3WijVszFLiWfeLDBQJ3mW89Z
acIjnmGUgYEdF5sGyBRdVhJfeeQ1PQHScZXecnLUOzRJ8zza00/TWex6+tQ7JNnMaq9AirznvUUN
Qu8sJ/wELup0ql+mIdX3QZXMh3AM1icslsV2zRJWUqFVPbVcLp7mYblRHsrmcyGGJTdy1NNZk3XC
AGsFf4V2krepV5riR4ZSNtJJq/jmr+0D8lL4XmXFEjdZzdaATEGsKpLvXuXJI6199bGUvv1oZSK7
d6qeRfkqocCFszNc2Q0Q/pvRk8lBVkQFWURid7DEmVyy+2GpWfM+W3u2hto7j+uCVXqBW4pvK7sZ
ed3wG/Ove+Kikn6zJOQOkd9WURSOPWYM4SWDAP2UwfBxWwW9mwmuLLL15vC5JsJ+Y7uRfeJPWx/Y
bcAmDhNS1V2Y/0jDtZ4WLVAOkrp4IWEjt8gCjPcV1EgnbPxnz7TMvYRWA0RNyKcpRT6PGncsToPM
1d/aciYY8h3ZUntJHgAoeh7eiaI80FXjbg1oBaexdJxd23PWMDxX5rUolvmTNYu4Q7KCLVAHo+KR
d/sHFAP3uRwZwI16Uc+qNn7nfRfsRMf5ORbJSaY0t0hgfg9pq60vr5pYK6pbJKmqBxoG/MzAGNSV
WGxWm9aH3NiwnpmeVup42c/PY0d+1W92a8cig450gi+hbf21CZmcceg0FC8ZI6DfJRnlVXA52CHG
Jaey5ns4d23JY8uoz+jMtgA1yn6a6z55ysOw3qYYAV6qJHvmdOXO4zFLc/xCRy19UBSzVOdewWET
s1wPy9AgPBn0AGxsrrXweUf1HubNwjLaSOTH5Prs3MIin1k7sN9e8dXwisoMtfNNxz33tli/qiYT
+0Ci3vVD6VDd66Hj5fDDUXeWZ7Zhw4G0w83dd9u9N6Rm/2KuWaKgTr3ntbXW47SMRcTnRg+0nYWn
Rs2CnQZKDF9VOEcu2LFl6n32CoswLGq1KV2j2n3rl/p+yobHciVrkBfDtBvDJNjhJuPOmWbGvkK6
ee4n3TAx997BdFubqSqwZmDRaO9/V0N4nBRr9aooc+Yu2Du7rBD1Eb99ct/lY/fgJr06SYs/f7pi
FNwo3yWpUlg/vHCMuylZqAMWhREYG68oeAf9G16xPM/tYtnJacYSXwT1j9feoGleUnwWw3KLTWMZ
fhUA1A4e7qvrBCz5lwr76d5zEF3Y02KGVYQReSPl1eP/iRN+/1Pff5U//f8DtpGFVIE4bJJF+p/d
8ED6voYh69OvTv4rzuhffvN/GeJdwJW0sAUOghxppv80xAfmP2yauW4kD1JOnOD8yn8Y4m33H5Zp
U9EHxwddTVj8Wf7TEu//g0eCM0eQ1BfkbJz/jSfe/ycO6F+t6AI6KpV8oQ1RAqf9f08rk7ajwRgB
eee7tbR32uq7aO5zxuglrAgsOw0Q1S3pqArkWprQsO77zbjGuEW0sRnEQGo7FPalmi3FBbbmXTMm
ZXvxfL94VtlsvHisbI6prm8lj5U88+Jg/O48v9wDeA63vtMo2OO9/DM5wSqpCy0CSeKWpplEiwKa
XcWRlZDPP6dWha4nbcFCHOjto9B1iaVtfU7Hf+rrzDS8ZTc2vrAtd6juLAM87DrwTHu31OOookRj
AKYDbYEFXZF/uc/qBS/oWKzmc+JlxYejdfrMMgAjlmnTwhos6R28eOjZizGtvwEpe780fbEYOsbu
a2a4oLpIHdExQAp31EVFdW4pqknYll113xcPzarybYVff1PZ+pyaA4DvUlJQ5XT2zgKDE7kjeR5M
YdbvGze+5J0/JvatAlvhQxfq9yxw0WwUrfR/0hqPHa30DstNn6l+k7GVYf620dwGz4Q77Ch3g9qv
NzRj2SemZyNiAnejQeRcCWq2kFlF6Nm3Na3Ua1/pqMgrE0e2bivgpKtybjXN/t0o5vwrq9zyx7Rx
8uy7aWHXjBGPyJIZLv0FpC8zm4e5eFOWK3nV8HZRiUQFGQ6XPIe5Leb0jlq78KRB736ySe3hVRBp
NTdCZzWrklsHa8ca9qMsSiQl6jfkwen571jLTRNi5xnQn58ObXWjEFZMSFQ3cmEjtXtg3hz/NF01
yx0rF33AWRHu/dFfONJTgVoG6qDcUKuqGkRCq38dXMe+ghJ0L4lAl0Bwqr9S+iPyjRiqNjwPKY9i
xFq++W6ZLj/7EGN5jCKRQUfMu+aXxZa52awYZtU+z6vumdLW8OqS5Uti3CDhJcd0dC1lC7IU64Nl
R5gLu0fkDf2GNld2UHhM44dsrefFgWV1H66vyt/MKPU+0Au/Xtvh/NJXFTefdCjptr/5TZjw7JvP
azIYJ4YcYyXNZfPeGDTrTznPb6GYmydvqNejg1eT761qDwDADbwZjRhpB7ZCM25TT7eoJbb6nfLl
uv3WBBa22xVFezAz2uu3uGCC4+Rl4opRBseB7RbafE9b7vcsaB1SFW2NeTwp+QCDseZP7eBH2ARO
S5Nfb3azxTokSA9rL3HrJOInKez1c0711oIS45Sz811PIeXNpsq735zhJZ4ry9WfesrhGd0Mk+Ro
5xfgg81FoiixDXPtEwsTFrpeOvDLDAPbdtH9+9r7RAvSHoSzTV0WvrWhPiE9iGHjLFj/qqWpdmph
+YnMkRzIBe75c6/b+lanPwHg3TS09u5HnH64XP3kLUQbgysM0IxMYigiwxoR3Zeha9poTss2pjOd
Ii4WNaYVEeQs662dKJeNvWyzn3xs5OvqS3k2FfC1bTs4LBAN154/DL4oFG/ZDkFR1bbjZ0nMouMr
wthK+A+z02YtvfbasK9aQOHkBF7KFfOlZTTDZiBpxZw/ivG+bW9xkKWqcSzjR/3oTbKSyFl/FD3N
oF873tNTUYizDJW0tsFo0FKyhu2rOdg54WSavjYhNJB3N0m7C6YG+WlNuKA3lVeuWxQBaPdseQIj
Kv3SzKK2RUDuK1bPaTl8m+1trQ2hpT5xlHgqSoGP/3GNlIyD0Y3cz6phnu8w65PsCL108eLeyjHK
GaR0JcHOvA5Y2rTCP4xhIekBz1PLiZUZ9j+Li9YRzdpnXdZwyrjUrnZl154SQRaj5CdlMmCgSnCd
LnCa0SzYy0NNFdq/s3emvY0j6Zb+K437nQkuwQ2YO8BolyXbsi3baX8hnLaT+xYMrr9+HmZld2W5
qrJuYTCDaeB+ajSybFkSGYw47znP2YjYUfounwofS21ohTF0Z8eu8UhYGUqUr4tmxaVZf8Vf613o
qjRXRtNQS047L4uTj8eDqWuOISWOB5p76vopdiGhLCr6nujLkObD6OKkXjh1isgQleY91e71Z8bo
HkbMLLSQx9GzKSINreuK5Pe1Q/D9vh4JzbBsOFw+LqVq5ICQ6fJVE3eXo6sQWcUgwgffaPV8NZSu
8VWvdcM78BdG1srpbHoYIm/0ntTg6WA6M7O55L61810A93VGctrOmbVJHvGpJ1ecc8wNQTOYPQGm
c2hbzKwWGVvriGabzNhodRkfkzFwH8dE7xlgD/l1ijt8mZk1fP2+jE8EP1AqJ8NgwktcBTW1fmhD
Pb2vGDOujLF9qnTXOquqEyc23OaqxYC4q+1cP9d6qb3juxqChRmaMOKt0toneuJi0CP3ec710D25
ZXwuS107BeUI+nYsXBopOGydtMQktCuqsoU6WNgKpjqciXWsF/DNALbM6HU3wXQdZN4wXwmZVb3E
nIjpg2hDmtTdFI1+KvtdZPjunnbYaNdl/fSaUb2wYiqZoCe0ZXRNXKM55hUKdNU78XOs5FNOhd52
aP1hG8RtsXSdPH4J2lEgH/XpLZzmAnnLxinURcWm1noPKdPDMvANDDe2EWKz2TSmvHTtPH9GKZky
yqbMwVvrWWqQEJO62GdhxeKCzCP2bRSrcz31JekLGV36qS7Xqhld7rkwiRdpCbZIb4S1JWXOgYX5
0Nnm0XLDqcoKYZP0Kb6/1HPWmHebl8lIerQKixQTK0K078ogQpzuzDtdoCEbrZ/QpRHa7lEPO+fO
srFyLzORGtu+scxt4g3e1TjpoQKGPTuCfD3KLp2ECHRF8cRTO6bprXIN/6usM8vlqcxWYllGlc3x
FA2PkuNRatXSDtsiO8UUFtEbQhc4z+8cQJRsFL5zJcrx0ZxIDtPfWp3SCoIVIQi3jrEQGdaLw/TH
WakkjB44MEVy0/teqUEJkdFBhMm0aoBNBVsrwiWDXbsd+z2New11i/hYHzvQUPdFHne3xOmQ6NPc
uO7NyKyXym4UCSiN5cHBHL118kw94SMobySwBbyKYQufqSaG6EQp9yrTuwS3mjUegQDQ6aQhZd+w
ge3pH/e76HME8TbE998pKFJpZJ31ZKgfkRWqk9/Qzjs4crryWgd6LI8tMazsWvKNShlPhGpy960U
WJ0Rvc3xSuuC4uKbdRoA99AtJZIr8Q7XeZ0mTxnAWMT4gnmByQMcNm3NUKH7wiEw8Ta+hdUJ3cXH
6D31N9RcGfS0zO+yFi7DFGwcT37nnq1EYVwn0Y6xE4Qk08SiOnk9TSFRnd/baXabRTkFzlnYHP08
EtyzcIpBWnScc4nihUsaxzGiwh1iRkU69bFiUk5squrDdElYN48ZX3rWQ+IE9dGHoHHrl6Vz21FL
fcnhJTs24Zh91mYrwNLB4PxKvU60nVIShUuGC/bV4DkYippMDc9ePOrjRYnLbNylQHk5IhcmlAXM
D+NOWbb9GmQ0mgLcxJVUaHSmwJNxK3oNpOdfUf4y7QyeXO8UXDjvYRjIdt0lKVkWfAKehMfFd81s
04rNrVn6WKr8xtwwaU8+T5qGpIYf1Np0Y+nzbIu6BwPk2a07mhkhsnY6TbGl3q1vD1+JIRJMzERW
sA+DW9zbzZcBb9mli5nqzIj+QGtZ6BA2BPUclTHZxl54Ee6fABoKPpWxXXSTaV17qduvoPSEiHVE
d/meM9tvaWMSabpr22TuQq4bFg0mpJQ9tab9WQ+NmqKjWjWSAjPZMwPSq1eh1Yo6DRlfwlQob+K8
rx8lGt1bQ1h/l9E09NAhlEzLYRzCPQ6JBs0fvZHIY6HCveaLSdtDZNR3TKyp35bWaCzsMVLPEYfk
bDFI1R7xaJJISB1PAV01muTIkSDeObI3dxUZFuztAXXmBlHkW3vEnI0AWVTVyqryqWbki51/qTMb
wFdXNhd5ngTgSSh9ZpaKhfhELnvakdmadzdWm5AbaRKqugosCj3S/m3IlbnrMR188copf55P2YpX
sPJshUio3emtbE95ZshHKHXjnuAChh8SbuOSdtFpWZFQ4l86nS0GkT2qSnDplX5IsgdGZRksy6xM
XvIykxEjiji8Nsuct5CmlQsXXyTJTUusUyrLsbhdcgSzLDlpMo6xEmQtPoDpWxHnYICNHjX9DBbF
v8WtQpmENyFjgfDB/pLUHRuSsrOaiybGQLuiSEyMC2gYFSPIGu4+4zeNo2mUzA9loBk7qRq+Grbx
eo5A3tm9vFA8kV7i1GGiVsRBQ9QCtBEqIQkgsYqUCjrGFTjkJiq2MEE0Dn4hmdDgRKzXWYMgihDZ
cKtL5j9vuWcw2hkGKmTYRhLLcdtIekvMOvHeRz96H8IU365MWUk0QHE3Neae+9yezxTKwzOE93jE
E+IZ6FpUKxxzRxGr0rti16Vusy/aMaqhjuTDgzAdU9/mxGD3Wt0Fz3hY4no5OVN2WfjIaHtLyil8
dNtBsQF0e0bA/1dkqj8FNvwG6/BvJGYBYfipjvW/muYl/1HA+uUHftGufOeTbljwhhFf6cz1Z0DE
LzAHz6dX2+d3OwKGHjAg/uWf2pX7CV3KZqfl8MNUQcN5+K5dzbIWFbBoV4Zr29R7/60ybudDrQRM
fxi4vBLile9SavGNKfoDlrOM3F6PtMbaBRG7v4U+aJx7KPuykq2O3FOgCU/ZyYs56hA3tLxiScYG
sCi9ooSOIuXCIJO27krUF2VsCk+f7IWV23SLDlobQHweBRQDNvxrE3jm+2jMaVuNkdSFsLOWhxDG
nKXwu3iP7LFO7KI5ibgwb3wsUlchSQCcElpxHBCH9g1t2ID+xR2lec2ST3Dc6jxSVyWJyMukYUrl
gSvinLS2HevCpY8Tna1dTbKfluRM6bGc1fVJzs1FuCFXIqV9Er/iuCxr/zIINQOyShNuxRQ9g6GL
Dzy/yL6S0yPN2/ib0rbemArYy75rXok00hJVxd5C0QoNRDgY94Tq1M3k+/1FGuvRm187HWuX0VwU
hnpxB83b6a4uNxx1xar3eU0v5ojfucaVqoe3qSXloA8js65Eu3JqznLJ9AVTyV4LrZXKg8ehtg5Y
PY6Cuawa24tcGKBZdAK/bq29Cjbcm2Cw3rKs2jZiruNzRp4KI41bvXUOfVYy3J3T2k7JzeWUAmFw
Tx6zyB7WynU/O4l+TKRBYZi76htkubgFWQrt0ltxEua53PPYNGuDxw/E3zEWW7AHnKwzdUplxc5u
Gpp8LQBw7PpKfBl7jfCSdPSbyXLM67G1iUhK0T7njUnYvHS68NUMHDbjKA8nTpvsmoxevErZatus
rb3rPA/dgzU441fpq27RihjRpSQxeiAu1x9llF7rRhV/FbIn6zJW1sIItXCRNyXaf5yptypFsGQS
cGvU/kVKqm9phAbjnkmT1jWTZ1SNzDulJYpF70y3XlTepK6+1cLePU153O9tqlwOca0cBqJpYJ6I
/der2B5fMzsZNp6WUdzUdpdsO/carDCo3GaT3rpuC/GBWN1h0D1caA6hxKTqMcdb07IUxXhQqXtt
aMK+VWHTGEfX5eGPk7gw6lVBQSV5A5FSCKRyBtlLLetD9rY+nQ+LpOPNrrJKcN8lTsuYymnjPFuL
CWFsizTn8IY5Dd5Kz/MxNll5g3U4tqCnwuHX6fjtavxoFcaycN24aLNkxaLYwW5WArsOsqDHuZ4Y
+FFoFI5g+YcSS7cm4lztWsOv1DIy0wYSSgob7JHIKk9x7mdPTas054kGS7n0lmaHzHFlR/hBoGSQ
qjlQ2pj1G4+QoEHfspQeXvqa0WhqZ1r5tULF8XldbM8bnVpxfxlir3SYtgWFQA33vXA9+iFWt7DT
7XIbWc5oLkobv85a4aSKNkGuec0b7VVRTurLg4NhlCM+VGRJ+1k3w/Gx6LljfJVgRg2lN4LOM+J6
ATslKnckBTPieZ3GAYk5KU9nu8zA1jAb5MNyU41kkli3/Bn3aaJzhyjyI2aMTz1NivwOIUa990Fd
CrI4HHcIXsVGenLKJE82UysKb50rUtNXUcqB/MBZJNqG3UAOGwGMSIXueJO14kxVJdu8jVxjT35W
Za+11Np447spGS0z9wKC6Z3BfM+nG4NihuiW+YK+xpLMC7b0JCqD1OBjUUVuux+DQdqLmkxBVk4X
jmaaz6kTR/NmQb30COQC7MdQX7ZlAxwi8qZknw8MDz0shjaoWaxSzTlR7jlSw2evSIZVU9Tjk2f3
NbbxKLuxEoNlLw7BnxSFuhOQszZd13hPoVkzKKX9b3o29Omtd1pSunpbPASaBCxVrLSGM3VO1uvg
8Hsl4jGzHapYh77Lj0p2qbX1tYBPlEjonGztNWb7uBuvR5nRsBYNVA+FfaXMVekicK/Ngja9A6v2
Q6fE4G6cqKbQMncz6zbI2CtRtOvizoWBwtZtliBHzLHDrZ2Rrd3RhRDOHQQpJBnXiN5Irxj0Kcd5
E82HyPgsS5Ipz0y3lbyYiLhhEuzixlnUHDzopeS41Q9fBnyDtO1yLRsLD3M6AjrdXUbQkNocmu6k
1BhfCw2rfsd85NKz2psxbcU+iJwEeZsixyZj6KlNuotRLBuemsGubipNR7rsABDBTMvGmzGQeXbq
OCV+KTjS7dp06vcAoF2NgLWXvzhBbNzAfcdKjMHzelB5x7QWSPGXkOHtYxbDAYC/gj7NoKUNGOYo
y/vqZVNNF2Hbfw0YkLbL2C/d7AxjgcksrQ1yaVpOFK3dUk+yr7HnkJxPtEi/SrvOuS1Lw3nMey3Z
xl1suhsa7pzsaIB6YFUYo7VGffW5DOsK6SXti3fT9cqvHXiBz31tkuGuRYRcbOdkyvEp4SyJBzwV
0KmtyzBrtPyS7Is4E2+t82NR0e1LQK0UDkkOrUvWqC0eQiLlU5QYo0AlFSrehWOk4q3UZHfjpDQ/
62WRHYsYAxs2w8C9z6RhP08tT5B4ZFVduPkYfnY6jeDIYITQcMaMqBEApZVnus6OEga0mtA2yMea
at/RpNuRtcWWY7e9rrFGlDKdcY4523FtFOz0/am5H2jMu8LUg4VvCBtMU3TxTiQRNZgRs1JS9KyS
dUYNMP3rcBKnMQN2iATfqKGFqG1ZjX0jky77nDchF10ZhtacCu4CizOfD7HCL6SF8T5oVUCo2tTk
jiEqz786ZF5ygy1RG69tB4ftjaaPHAeGMmEgD0ObOWRjuSOUN/wA1Ln0WZguci3tqQrysJxsQ4n8
fIwLzRmXXdF3NwaBqvCCgmxbP/ZJMnE69Mm24LOZNYuhAqOTaGN7G1CVXD0EQCUGSAyM8Ji1MDTV
10XKLe8TBIEoANglBWK27VXtn4Mhd24QtnssQNRmLx0CcTtNTNbOt71hVZmxSQWqmV9bE9YRfGiQ
60SEv33EL7nSkmY6NoHwFA3rlnaIyf3Xy4pgTs8F0clXFBImXwTc2D5Y+lUz9gQJZHCrc8MvZRMH
a+Xg+GuyqvvsGW19yJM4vE8aaovSpkc01ysnPAs7hEjE7qbgGy5JjI1eXR2x23jp1hIi8Xf45z2+
1krZ1jIg76VOJtiFaw+SApnpyLoXPcOmbRZr0FdLJ2VZzpVDZ3CVJPkeice6H40u5mseqc5Y+2Pb
3g1W0tNkMHpoOeYUvvGYY7EM0K2HRddHVrjLYj1YG5w/Xioj9w8jbqnTJMpT7RrDtiHrtMj8KoNG
ONlHqAwQylv7UE9oj4WpzqETp8aCWeahBxfwwgMjuQtdM3ur2qrb1mlt1Jve0lKCVpICHY4y9VsY
FmzBSjvYh5ne77Iu5wFVDZFL5iGWibHWGwsCL9UsGJoIn8otgYswuLQj2FNN2WN47AdQIalgSF6r
sXytmvFV1RoGMmXEOUAx3bRrvPEZPAqcVslfofp/y8/9/YnnA2PTIrqrl2BI9qLMakZddiMvikxL
zj94Gf4AUfdHLwO7z0fGw2Jg2h/4dN2UF2UQaP2eBlZmb9A8kmU91oy9f/46Mwr9V/PB/Hbm79cQ
pBI4EfJ/f8vBM3zNVGRv2v3UFu1LMj/hwUdzIghHL4uYYqTxe9Zh/FkIlVP48/NXN+dP6+PLu5bl
Ct9zOd1+fJsxSqYGJojGaknPNyEkdWd6ubMBEAdjt2+yG68mL8f4fHyilATPDruJTvfPE7sL8W2b
YYSkQWbXksO+fxpOg8t4zrFqPEI6unq1SCaFxVHr4+y6kZKlqnSnAI9WVOJA9v8C7v/7N8RJmCGM
yQdLg4f9AT0/Ea12s7Kt9lPcNAR80pgIVkdZgr5u0dl5xoeZZ+1//jH+/kUxBGBhoeuEGJyrf7gm
JSAt0SEX8aLhdLRchnq5wggXXsTuWL/8/MVmRuNvvzJe7JsxhvQyqxOemR8Z76FvmUXm5WrfTzFl
a9J8G0Cg5vqg/uJd/f4WsLgsbTiRJFEFDWq/fSHAQUZVIprvYzKV6loYFdpaWBh2u/v5O/qG5v/w
lmxfcIpkm2ji9vnwpYUAYBN7srO9Ejgno5YtRdAOUXhE/bDaVWpaJl3oeOV8Hnl9c532rSVOkKaW
PIiit/bb7q8ySMwQ8gqmHYot+0P5ba/48z/1d5+JYZhcWlQpGnws9sz2/M2Hr4lQydKL92kU6e6+
8lp1GsqBw9Lffh3Q9vYv5ijb8j989k4dNajobbQvAg4DK0mEIl6FQZZdfHud/2cU139XURC3GbLw
LMz9ucHt6iV8yV5moP57oWI17t/+8z9+/bnv+qD9yTRBPkPRd02Wm1+9bb71ybJMZ26c1MlNEwL+
VR90PqEyseTiChM6xXN8u//UB+1PWFFobgD66tj8SvfveNvMb9fJr3eW62G6syzP8dAHPY+8yodC
CAJziNEjW5SRoM+6cF/wj/hku2R+FYkxwG7e2mCj8vuygqBoUym/hYKSvQzCdolZNcZiYMeW2JCU
ItzsBZlSrPzefUjfzSqTPp08LfYgzKPRsmdydtNJO58jaJKWwTa7w19P4s2XcudF4inpGmbFzuXY
TAr6eEwpJvNB1QU3LTVCTgEVGplGkiUO2H9jPJUz+9kl7Z1jaXlxibBsWWfXTWmCFvH86TLLJyzB
vQJHBnybZEmzg/LRb/qmY+fKsHASnsHMEqfyqs6hFJA3m9vBtVXp9zekNnd8g2+4ixZ9lR/zljhM
Y94yejiw3wJIiHxDpfZX2yCnpEVBQp4n9aatGcm7mM/2uoxzTs2TVm0Z5twPerRwtP7Y2nyYvqos
/Aa85dhKr0RB4a0W0MJc1Zdols0SU0O+jQf1WpnjdBU8ND4xwabOqCOu2wthRNnVqKkHxx5XWd2u
mW6MdU402/CKr0rQS+E7sPstY8UemRL05Fz7IRCH3GS1IBJCn/eCR1bI9B8q3zizGu0O9Hgz3Lfx
ZO8tQqcEVLH8p+V6rFo+GrcOd3kZRneA028jq/sS2COhqEZkm2EYOaKBW7y2LQzMmc2QfwwqSqBC
jo6egmwNutrem/40nq28vLVSToaE3kS7SvJovNOzALWlaVS1BecfXg/OpZ/b95aeUNGbOOQ2pEb0
s4Mdr4trJMVVmjqPYTZecQYZl6odxDbp5TGUzV6bYC8wK+lD2uyHeD3aY8xX1VxJcI+gBHUcTlCD
fGsHMCiD0jgma2WsYR4sdY5sDLNJmQYDcl9l1ldjpx8hhnQk6ouF53mbkgna0Oj3Qf4A9GGAeglU
n9k2r53sa0b7Mqv0ezOWpNbGzqY7m6LPTRGBWMy93tjW8GMK23gRgRYfJqwDWeJfWum0EHp+4Qb1
yVIex7JkVabofFNkPHV00uDqKOO1QKO68x26k2Cr8XtH18Y2JrXrCW/8yegntYl9I8KH7dmvTLrb
g5JprJbNaONZq63qwgqa8ZAI6b3Yskb0b0E0aIbv7QtDtvssCbLHxAp9EJxtEx8jEyJelIRyN8JV
OTfuANy2UM0eD8P4hCWcite6L0+EXru96xbZc4qD5m4SFEAAQ2EMXhU8sZ3SP4AcdzaG0/cbZRjh
vtUAfuSdyM9zuPjsVXl7kehVfp+D+d3UnYngLCtfvjCxI8htRN2V6H2C0baojmnn9TdGW1hXtjG1
F0qXxpORZO3aDcsBz4vvHGqGdHsZgaIBpRS9W2JAEWvyUb4Bls975ox86lPbg3Wp/P6IVVwdssAz
jCVMD/3k4aO57S3AfEZgGsc8LaP7kS/rEr1RHrlU3COER/2YixIfO80vxhJsn7s1Mmbi2NmgqaIJ
3ZAM0ou/2A6x8/+wxcPcbAp8dizcM0nc+ND5ACiYgEIzhXuPrNRVJWTZ7TkON1e1VQB0DSgbroy+
X4ymAderZxTSU5mxtgctXAvV3jtdo22YJhO8dZOGFbYxypUNfghpDZcY2cXwSQUt3ZpUYtonp9CT
g9LzK0DP+GlrfzpVc45SBF52OYYZX1Qd3dsBER0pfHtHH2i+7JgpL6LRPkvJcb5t+/zaaUMar5Bp
g3PV96a29e0RVxyYobqAbsIvJqgR+RWjn2qkD4FiiiVH+G7Y6nkYYd0LRPkEvgZYAPSecs3QvLgH
8Oc90Y96gU1i2mimd9u6TBpiCLyj5ayqArdrrdxiFesZKP28OGoWSbsxNxR/lXVbDWoOjtwF0kXv
IDnD3N2+oAJ4WE6EOoD8YW7F6DItXZLwSyPKDw3EtUMgy6Mbc/vHMURJxF96BGJcza0c17mdM3vp
nfA1YiZ9UXS92GgUACwKoO9X5ZjA/vCxPrlRmtxWkxOuqjbMr3CruLN5lEtpcrmqJg4Vx77CmwQX
oTnSNupftqSf70lnm8cwduqr1Pb1WyQ6/UREC48YmUZ14LseENOcmDYV5V8aDsbShUe/2BsAlk5g
Kraidxo/MH7LYNjI+U7B2eEcvPnuMef7qJ3vqKzx2ouIidNVqhXDTVXH9VHoBc/niOREBeNxRedn
Q5cPEtai9UWzSec72J/vZX2+qwMsfmfaDIZLpqFAejur39TzOkBFBXoGLMRDJcp02dXFfB3U3p03
ryHxvJpM87oyzSuMmNcae1511Lz+ELUMz4Cy5Q6NSt+nnkFVHpos7AMlc7B2U7tPQODuK9WHh0y1
xJuV470kmTkCJ9U4dzqpe4pyn4WRItD2wAbEeXUwBG+HBDJiR77mxH+tXbfgdrH5Ue8Wx5zrlmML
p5jmbYnxuJl8dih4cXjbnp8y9zBtd87txAgtgI4GZx5HWXKkYguzy1XhJt5St+uZ9+76zbQy/QH/
CRzsAADE1ITVI0dXianYThnDQFpP1a78Np5BagoJSjfxPLZRXteuLWhVPbddTJGjzmATalUUofX5
41CH63yycfYMtg0ZRApg59wGCQ5qPLfXltaZl1442DeD5hqbDLfUWiakwZpJ4lmFpcugqXaiDIgh
w8Ieuav0Ke2rgi9Wh+1rxdyJQZV0Cbau228DrC6ZiBO5LJufpyxjujV9m3Sxr2TqNUijNqiKVuZt
qmo+l6K+cQPcNlOS9MhJgBeVWewaCrw3iavuVQcFhgY46DaX+FiqS8EElMmuFizZozKQkRA7dBAR
CyOA/1SR/1vlZdUvLHLRC71Lnukb6TdjAnuwsOqlJ62l58NKCvS6vyoV96jTyC+x+yWrNR8+TRCz
3uDVBE3XH60S/nDCjNBlVih84zaZh4cDU0RjHidGRH3h6UrEAqSeg8JlsiNURJVrbF3gC74t54mk
E+P00Hj+zwjE12weV/IdhbDrGGHKqD/xOL+f5smmLfoIVsXULXqmOIckxTA49KV6MDz4VIlRj1/9
0uAabEMS/cuGc2tCk1bshv9t/vjlUHYeq/f//I+XtzxmhW+UjF/V789rggfon5/zlhGHvPh3MaZv
J8T5J3856bnOJ4+O+bn8CTeIcObWyF+cIPwLcrepM+WzKBFzEWy+G0Es/RNxIzJMtuAYRt3irwc9
/mnu4uARzzmf9RtN5H/+D07T4Xv5XZ1sPvz/fxRtfipjlkGOobPu8MM5j9MnewYdQwp/hY4m9OGc
B5QEw3qejFuHMON9DlnnMyJyeOmZQaQWrH/DExbyL4Ar5Tt3TPHcw5hYOoD62rVo+nLtdiA5XJ5A
nwEWlBcdrmBQpnH2Zmdh+/jfosM3heC/djHy3fz5xbh6yV+Kf3BB/oPM4h9cyfzw9+vR/OQbBOTm
5jpKZcSvziRX/0QZJeVkGHJc4dBX9q8L0uSCtJABPMfxTMPkyvtVedA/Yd8j/2ZTimrYqBJ/54L0
ZxXyxwtyDvshndM0agiksm9b3B+MSZWE/i4KQ1DYEn9tXefKlfa2cvxzEhB205k0ZCPiQacFZ2Cj
N2ySnnjsb1v/OeqxFcFaP2BpekhbZ0sN+8bQtHVyJHN/oXqGU27G86O7jHr9gVjJNlXhhtnWNgEf
o1fYswNQOdUB8KHTkjHu+dm6OGaJ3Ik626eOdUPu+AqT0bavxY0IDEp8F6YTfhnCiJSCv/ay+s7T
qrtpCNaBYy1FhEEl18EvfpmyuxEWTpJPW3sABCn6S7fy9uzvjnABrgoxPFQWRa+qOCG3r6tx3EIh
WSRSAUcPzowJseME4tw44U72yXUeCKhykU8Aw5a7KeAgmoTgyUJ3Z1WMn2O7wyvon3Hxfk4EHxnn
460VOHtmLmtk4FdNIW0gXggILz9ced9Xmd+sKvOq8bsvETUdYxjXGekH/v2HL5E8lgliXxNrAM8r
utPAYOfHsK+v7XG8diUA1wg0dDq5aw3cC+Hc5c//gI/ld4L1zNFx0SGsobBZH1unOTF4pW8y5dNw
p1dVfPRaCbyPvVg32vY6jUzixKmzRfQlsjE9dEVsHW3D1vY5yfiFu3gfLSVhzUpniS0hhtsJRRtQ
/HHI5K6t5wOsF2p7XTFAnRp9iaktX22xmvhsREj3eX227i2f4WvmMDcLQBX41qEe0EBoF2Gb0Jg0
IgRQl4bppqUyBsotbbOm8WjV5iFwsQok7aGoo/qiZIZ++PsL6X/Nr/mn/9X/hzVcpmNhi/zJGnlq
39rX6F3K8ccF8vuP/bI6euYnHtWg2Igdo/OKH0q47E/23K5uf1/l5n/5/rg2eJALkyWQOQQSLBWP
/1odDdZUk4GCj6ZrovuzcH54PP/scY019Df3leMQhGZlJhzJVe16H873duWPelu1NOx59lMwcAr2
mDGi97tL0hW4lut22IS+e6wK6/WHT+oP7unfjqp4HHx46Q+3tJkYbkoZML5A3JMkIGHKRsBcqzT4
0td4B3/+aub8Tn5cQVxTR77gWWDr+GRNc963/LCCQNTlwIVjbkMYQVyEdcCJLHErNEsz3YxNhaU/
SbZ809TmZq239t3OhS6o26vOaT/Tnws3dQofkjw9YVu9xLVHIW1mL5QePNY1GeG0VnhOyuRggOb4
q/XvD/58HzoIkx7BE5ELav4if/jzTZljDexqkOmpKncMUsk+lEqT+LJos9LUhJe0Gj3ohdZw8tsk
vqPo+docan0FbqFZ6G39OeX8DyZOf6L99giwnPwFAVQX4ZD0yV7VlNkPPf+tmfegMz1Ca2HvbSHZ
FRxuxnof1qZ+1ooZMQVRYlfiyhxhG7vTzUinUBLF686OboUNQmnsvzSpvUj7aN21hOoCcNZhnN6g
Q9xW2Xgn6rcRB+cCsf15wKizhWU/rpSVu5el9DGcGlW6xwjR7s0IwCFVV9nK9ngzQ2E9CGlYWzMz
w7OT6jcFCgruBF4ZFlB2NGH6v0AAdbelnwzbIVLygNBATqgudHfhwJ1cCaONsYBxihOkDLHSpuHG
dgNiQlrgXwicFUfPm2VSP2nA+JB4mPKmuFBN6T2Ti6booojLa8+e0+p+FbYzo/h5SAOI431kfiEd
CVKmVfpFZxwIQPVXPSIxVFOvaTYUfZQbpjfTRYHpCm8c6cOuIBQIM+QtjhPOByDUyV3h/DLrfiOc
2YgFi60cowsQc0+xF13Uwr8nRAbyjK/Gbka5Mxp+oIK6u+vzIFlleVNfclRYD215Jo9Q/MVw2/y4
q2IjJeZbWHBJ4kswOWr8eD3ioDTqSo1YvLOsCHGyTog8Va14ChewRrd4qq0z5L7hSMOG9hwFtlEv
Kg9aUxDX5ZFt4/1ggjIifHXo29Z7HyBT3lmpnm0bO8CT7Tc6yn+ZPuJ4ai9dWkq+/v1H1v9JbeS/
98BRYO/4yd7/PYviHx9pv0wb5x/6vud3mSn67F/QhdkN8b8/nEE9TCQUKhIFsOZH1b+eaqbHwZWe
RZ+bzBDQN7ho/jlt9D7N80dOjvMjl99o/q2n2nz1/bjY6/jpWCSZ0Vs8ejkl//bqjAu7yvnz6m0s
I/ChdV+rc9uF/eeoU921NfTnVpPaLUPE+amTRRWOJ5hvdmVAcLH7JHui/KJ7gTMW74PUb9cFQebl
RIE05iXF5COLUbUcRvv8eoZJ2KtOIe7p98RxvnCgdSDiUBFZ40NcOfQxnxD+g3MNIHdGwTePVily
MOi4tjS6JxZNkPJUKam4KLPukBmEggbL6R+sxNGpT8SjEkZ+u/JZ+u/K0v88aImAuhGW4O5JtTka
BA0Ah/AaTTNeNfNq0Y71nZ5b0TpqEMutSvnoz1q6altV34lcaOuGprZ12BOs9yT1b3GQEtnU/f7R
HCm2hE+aff3f7J3ZcttI1q1f5bwAKjAPtyTBmaIoyRp8g5AsOTEPiRlP/39gVfdvq+rYp+PcdndE
l6PaEkiQyNy591rf8qAVkRcgwjfXzuAoAMR5a3MXNS8cNMKFArtbmLbhrczOcCLGawM2erDl2lfy
IjjUm1aL+cv1jj2wsnGpT1AgcNFhMjRQx5Xzqo3NsTI79aXQiD9QMTTGqF41NJyys05WA6CPaVji
PqKQrw9hpSGcg0xSAj/3irb/s0j4rwbh9+0AKsA5GfUXS8LrO4mzcztgViPI/7N97T7Sz2vEX7/l
rzXC+APpwP8e/n+ofOeOgUkyNS0qQrF/WiM4/LNCeK51XVV+XCLUP1RkDDO/ByurPssY/oPC93P1
OZ/nEBPNUB+NF6J+WiFiHLmA2AhZ7RnFxxQKthlCYdOh25ubH+7TPxS6MyDop9WIpojNIA7VAxWo
R7X982okgCsWpVUHcNwY0Tvd3ZgRopE465xIcKAQL+R5IB148gwiGifSDWbMtvGcCh1nwEAuSrm2
c337m1f1eY28vipDpx/IAcSjDfPzqwpgzHk81YFfQrRtkmoHjxxXJsprTUh/gtvhKGjmJQHzMz1B
wOMOZt8/m7vVLE29vPz6BdGm/Pt9ctkykF7RqqH78+kVwbYrSaQQgV9PbQgf39yJGV9Jczw4D6ic
INwoMHzSrmWls6d9VORILiarxUPSERcW5l8VNOkXEHbpwWjhrZlmtCudHF0pVDYj7786w7d0JMin
AWxQ5CfWryihEY63BtjBQgdZ7tmKb3D+1kPiWOCjgFkB7g1vULdOaqWsvDJel2a+ilMTYkALhTnC
E3HX68UdAw2c7OYK2/fScqnKVYLwWm9BTOle2AGAk+JY2/qW0eCiks8zclIJkXp3b0p+sB2aTWZv
7Mtxkeom1uvHru2eujYpF8ypyd4cnJ3ZPGKr2THsJyMO5AutnKymtm3EZTKR+MU3qcs+pU5L12I4
6AR75LKEjgULL0iPo9XfZyR8oMJcDzj1SLPMmCU364oo4bXSMxDSnZWO50AJe0xS8tQRMEIg+4A/
2jW5Ztr7ZdGtjaqgR/SE2Gcfo9B2cpS9HIVaTLVaRGwiXPbYKmAO9Euk99weLuPhaq/6u0JaFz7P
RawY27YhgW8Cpe6gQ9ZjudKqt9A563kFn7dh3OliEgb9qMKNM3kyO0AOsBuU6D6B2aDIm7HEouGF
r11Mm818q4bia42fTiIOdMGOCO8MSQGI1W0k862rwUp2nXWUwa4JyDdBLFXeR03wVTiZchorPjmn
Tc5YZ/o7fRqgoMD9ZB4UeLcBw/dvwqgItShLblrWIRpdQEH/qMc8vKCpLl4RzTg2KuD5ocFTHc2k
Lac37x0A71+wD3S7mkidF07VIEQMT2z6fvYMkDEoHrMyyfH3kXisBflULfREY2MMrDa7x9bbImao
nVUjJ/hOeT+MkldBwLNF7PEWYAxyg4Ex9SlknHg0WuNsydq+yKlz7ho9q9bX5/S/m+RvNkmdHuAv
d8jze1SHrz9WzX/9yF+NIOcPln5OTVTM7l8jmL8MvBrFL/+1NHWuVa8N9H8ZePU/EHf+CKb7d8ms
OX8AL2Fgw/qHZJVN8z/ZD+HYfV59XQvRsEE5T78cXe984vuhwxAxcgWajbKhTItKWRaZleZEFyrq
KXRk6EsH32pbaoGPWooUDz3NgiMcgHQdpEN1AE2u+UBeSaUA7QCIOZjPxbreOOB9gt6RGx2u+mnQ
otBZeKjmfeBvLjGgEU763Bur5ynCxU5OAXxlIw2JHqNJ3mZd43fEd26rSpAdzZShwZXSdN7KQtA1
Z9Th0+NobFILkp0m853upuYhIs8RLnxp1n6AHfTUxzKpMF5KOAGZNygfPP/Mv9FIeW+Rh89eVXv3
VJBZuS9arECLjGDQIzWK/VRz1gCapYYc9qEQwP+RkezqlW60SNtApD7GTfrSE9J9Yg77EMD6gcGS
dWDobPlKdhHkFL0K7wLZ2PdwBtKTGsX6ZsAf7KtOBPeAFQRMpqJgyVN3tHQg2hb55HvcOtxCcUja
LmlVeHP7O4nbAoK8S2D0kB500URLUSfvWMRYfe0iugtcC5quVqa+5XTj1wGS3TFkOD8h8VBIeYww
jGDmZEa4T2YH77JWjQmxH8gsxv4I5w4KUSykMpGKSFcl1eZT+9DHhOmEjvtFE5N6a4/1cOdBtyKK
BSEKvaVYVGf6TqxLRFDUr4UT9tWu74r2ADSETBy16INz4WZY2rLKBTSSSVpvh77UIFtjtw3NheLA
e6WzLrzbuhMQD+0G9CKh7ma+rwemDwHAV50TgosmRxDbEK1tkJ4rvU/iG+HV+k3UKfFXpcPxFNSQ
gvIYfw1vqUvvKuG5X0rM1b7VuMMR02l3bqA08FF63Qy4H1xAR+ADu3t35tYvMgwnT63V249FqUkA
rr3ULnjpbXhS8LBWJL4X25bYkm3mmT3Zpi1myQZv6FtlRfGlBtHhGwohiH4cjaM4ogEVAExTDSXR
mMpgSb8oukNO7W4bJ4GJk4hhjZQHBluQdMW2Kp3ihLyrWYvuXpdRu0QVuHaU8LHoq4HMgLG7aRvu
sVY78QtqyfbWKiRFB1nynObyczNoNyA8yGpqmQYkAINOcaVwyxQJI0PLqhOxR0a2SS2r4anGuQpJ
Q0bouAAC4VOVuoRCBmhvWpJlbq1MRe0/iAF/aYxUHmPEX6e+8gYSQvBwYatwqm1bZ+axGIdiVpjQ
RGTyEJzjuqZFmc9NHpCAMljrvUb4hVQj5wLouIbuIsNmOZDmfao9IHyDbubZSpMlYxD8fXNmAPr7
Xe/qdbuDLWOjdOgMd/yKgjEy7msXmUhNWf2egs2iu6lVtl3SXcLpKBda1UbakyLCYUBZCLyAeVbn
VkRymQmZfHYQeMe8qAjLtUay3ZG6JZiKWnJU9hEge2Opkmv/JeSEg0GvyZ5ASZnZfibJbCIUh/HM
VG/jNe4onexuWv0Jc+s2fYJe1jM/lIq1ZLF/bCvkHhqthhtkfDmmQYwOuJJtJ1m4QP3eHSd2wG8G
6UnSkF0T1BWsO9zFs5Z2MuDjD+MbSChUUnJA/DIf1geeIlbYkuiMuCmJTiNbCBXkZI0gJM2qeBdd
U1AS2sFHrNQYS512epf90GHXUvnFGvZO4acGKWibQRhW/RCh7HGXJq44sWzCwh3uxroiPNRBpsts
seKv7kSMxrfJZdD7UUxHBLMzTc9VhuIOdEjmlPoua40W+Z8e9ZSCiZjoFEAnWhj42AzA2xyyVrVr
Snszh02h/Ky95DRYBbFfjjDWJdpLxmstIiMd/+Vm9Ah8Vz3cOVoqzmmdpUfpYhqF6j7gCjXFtDDY
eBZZX5d70o8nKMMAGDcjHJWTwND7xYoqcWw46ISLiSPL11bydpYy4ZFY1P1QYsxuQSEIBTb7unIy
w1tmaenE20TkPaTTKBu/qWY1RwUko/cWVgqpdyUkTyjOTjgZi7FSc3D1zmTovpqN40gEnwVLJgnJ
Dqodp9b9jHyd8MDwNoxWNkg+ouRY4KMzNlh56LOwL3bxVJq7vtQZ4aYm7DTmjzwFmFYPBaka2x7b
ukfczDCgfGaZVPuwuXOGlmjdVKqvVTORmspwh8iWoL1Xh4RBLvRGRQXlJR3K3rwDTKNPif0qxaim
qwTN2JNsrdZbmnYZi23STF2I1Mie7AWDVuKxVTyeS3Xsxw+BT+CLpTX9feMJGlpFNzb3Nl6DQ8Uz
vBgU3bzT6sp8wi+c0UjLzX1tYbS2YjlbQsnB9FJzWLY2hwqXnLjJm/Z6wwO7qLUU8k1aYKRuDRPk
ECEfyBYjQuEBH/JR0i0DrT+ua9kr+cZMTeM7hRMFcam42XgxBBJFC334/NuJ4Um0zBabCODdl3iI
We8wSDXlviq8Rvq4apuzwimLTONO957KlDhKIs0ZuCemWiHRVrQuWAYKUcorG168CUtVJqATk5oP
GmNQnJ0RnIaN73Z1+lIFiXqWsUJQBegG+ByyG3NqCGD7K9VJ25cKjg+BARMKf0EWC2kDVn2PolN5
nadU+tJqayfyW9y4lB9Qv5Yh/L+KNFUzO/OuIS6Gilpv7VLth2UStvVHjcbXgLfRC3cRuAiEtsXY
4MGVLdrUObUnQlKrhizY9qQpQBibDE3AoJbAIvLG7okV0cp3xgLI75yZHlmHCLWXZl99c/GxbsuZ
Mtmi6EdPfoVPNvoMomRnmjj3VeAp41gVL9bMrLTUuHtSIrzmCzzB8anTii9uX4G5TOtIaD60ZOuQ
zRzM+IrEDIFjQq8J2MoC+TzN5Ex5hWh2LTzNIUG0vQjVjNihgoy27IreTG1OP+s8aavb+ArnxMtP
hzG9QjvjCn4ntG1QnoImjwbDXu+fxzAD9pkkWiyYaZoozk1QC+1ghx/gRQj1CjoEcD5wZDhY0RUj
OsxEUTz5JXlcOmP0RVWbM8bCIAI0mEmkXduC7K+gk1Yzp1TaMJjKmV2qzBRTGsAbCtJtAtUJhA0w
2jXOdfCcVwBqMrNQjZmK2s+JcGo9o1KjLKmf+shLYJxAUmXfZz0BLkWbYCatNqTAHgva1Q8VOUrL
tKGvYMxsVjAwaYo2T63eBHkcEfLH0Pg2ZMWyDzo/SIrpJQT1SqA4JHdbFds60MnldknBFQtz5sN6
V1QsQV5gYxOiTTbAWPV5fijVZ82cEbNhRZQrABZE/qgw3dm9CI6WuE7QtHgoETz0XqtXLLR58ka0
AiBbxOrqqjcLlJL2FXWL5LbcSraLZcMeQGw2iZWg3vrHYObkWldkbo2hu50put0VqMvwEbiuUl9B
u1fobj7zd90kzfFmzlRe0tizNzBG8lmPEtNaZV2ifMgryhf7Jb975vuyAqk6HniDNJtkJgCrMwvY
VMG5rJjOe7dQNuQ9GjiwwYGdpOUCymX11b6ChesyzrUVBRpwipk83IorhPgKJObBozCMZk6xNxOL
La0zjhDP9Nts0Oov7hVtbFwxx8ZMPM4BhSBEmTnI5kxE5tsDHDmbOclmM3rRtpgi78CInHx4tSAW
Dl1OzwhPvcKW47qZc5IhMKdXGLNSO+KZkYdNFkzPJBreER9gQ7BeQ+yfor16bt3usTyIU69DT1uM
7lyCXSHQGJMAQqeqERgLakLE3h7E6DEAkcjweAZJT1eodDjzpVkk4teYzsQpdVXCFBD55j73DCh1
5yJU7xoi2FfDFVsNSPixnknWPKwmulTo1l1paHvypQZAxLCvQ7gGPqsqmvsrGhvbJJhs7YrMFtOI
Pf7K0fZKuLtypmsPrRUfZWl5TDav+O2ultqbMTO5cTSJJekE+poxt7ZE0lX6BRBvGRBEUs1cb88I
07MRT/lt4dhzPoKCnNWrEbEuyiLe9RKjOLkk1auXMggmEcL6GiWk+wxXpHh5pYt7efxWzsTxCRjj
fZtpybOOTPkeezLnPzTT1Q12pqDf6FoOQJvBKOE5PFhAzRsVTkEzk851Hgt/yHoAfURdk2IzLslU
HOEOwJHlfV+Ynbnge0rAEK3jOYfxilWHt5Y+1iHA1GGiuFhJOwXBLmcauz1z2d0icP1qZrXPuAYm
1jPBXTRee2vPvaaUD+DBgzN0z3pRHQUg7pzKCNZ5l4SwW3s23HEauwe9V/Y2H2jA8evFiVltB88U
9zQ6v/y6o/u3vjcoMoaEdNlp0Tn2rAv8saPgGtxYJk8kcEstvpRYhm7M0NZWE4i8fTSleFhyYuV+
fdG5Sfzj6M+mmU+2DSpU+u26Zsw6kB/aGHqkFRNmgGFDokN6pMpobkXQF4DU4/ChnGS75khm04vr
q49fX/nzSGG+Mm0TppfOLM2dh6U/Xrm0rN5h7j5tKrcETUYyXAcpw1YOcpw9V2AIZocnE5j/tuJ+
04pzPBWLNvf3/z6u2hQ/deL+/RN/jaZMRFmIHjV0VD/D9BzjD5vWke5ofxpifxRlWTTcaM4RwYs9
Ypao/m8vzmSyDYNPBc7HoHKWZP9/zKbmF8Z0HCQDYkPtT1PWj19hhx6xlfa9D+uhQJJDmmDAvGqp
aWGxUMg7/9N6/ZOG+0d15d8mQdfrcUELmRr349NzCje7TmhD9/5kAiqYTPG9m5iKgV0bfqvC+tuM
B1Gvi46T6bxBZ/PzjKe10fsaYQhqSVPhlmcWAb3wj7RdrOvlKQlEd2onmIGp3uQrUUnvnSyV7pZs
hGRHs4USA7WptudgwsZFPqCZLBJPyCeTQ1YPdIbjg20Lbd+qev029pMVLGsNNxlQepeIl2xKIZv3
RvGh0BikXEm0h4z5NzMNJ6q0A5GG6m0E4BvIUDQFnJ8ck00xLHyEcfF8YE3b7y1sww9aEYCzcwgL
RZBOt16FKnDRVKPYVF0bL2HEdZfYnpRDRaxIBxCYDGhOhR4vpXWC4AmJP403PaTkXkQixWchXCJJ
gXsqzqacDEbgHBzJuALNhiWnNmkO4Kfq5PcsVuTeqe2dI/g+aHS8fMXJj/loP8wZq+UKFHiwn4Qy
HSKO2bfDkB6HEESYGagdKqzyWcnCmPpUv8TmRKdstn0xIFtEnh4Scy6rpeEp8jgijFiqbduRVEBl
m2qg4leK7ZLImViJrylDslfG+jlCbrbIBjPBFhyRuugoLhFGzk2Tx/E6rT3iWwgmN7Sh8VH1463L
R8KcibEiNK/Wlbux6laWxgHV1uhDuYyMkS95O71iYJOwRy4DiciVEu57HmMZp+XCH9jRHJUpEF48
b9mlGGaLsFZXtsnFdTtD9eaql75FONsWkkcnF69CT05ZjsBj1lf3ALUWWo0E2syVDVCOS5HIlTvf
0cSYqQ9meA/vSizVQX+3WlrdibOrijhdploGLHJwF9QEJSZy4xIYCU25THuP7WyNhKni7Nps2HC+
q7qd+PjInzktfe8C9wbd3vfEi45ZI/aiTLRl0gUzeb26FzRFOGxRrHeHMEg2jUHMVIqzB4km3ztk
ipRrAW3wY2yYvbqKSS86Vw2nZYIU8y6mC2mYw8Lo04PqDR82yRbMspneJtl8LBnwkXkCD1dHIeC3
BlbDyc051noVh2/TvdHHUNwYwfAWBvXTQHuKLk5fczOSiHkW4b+GOI74lUgqZJxYKHWw1J2CwE+A
PiT5HgTHj40t9eeExkAYwDADswwCq48wb+OYnknjKfXukjbbAr48XQmVS9u4M3ckDnQrCVt8yQd7
CbPRWwZFPy6UNK3J6eBBTSp9emiUmq5X7Tz0Ku80RwHe5XwOplq+oUcr/P9urv8v3pB5qwRj8svN
tY1fsUP/OOr690/9e4OFRzuLHSx0yqoxT5P+HHbZLlwJS0Um+dcOi+73X8MuE/uSjqSZws2dNWX8
0L/0YeofGgkutFqR7gKZ1f4jTwiX+KlGZJOjPpyjVjCuOICSf67U0PF3NmNzx28s1rjFNI3jE0lG
w2/QKZ8LQpUSlEqCgbljw+YwPl2mxk0Qk3du+7aZdF87VXHX0H0FAa1N0m1EBhvrh0/hn5Qmn4vf
+YrAOky6NfBoUJx8emPZlBB0F9g+2C58HGWmsoRzysaVy06VrzIiFe7dlv5mE2Bf7mGv4Q/Opq/5
aGgbtfLiPZhqY6/hiveRa4GG48B5ysQ0HTV6NKffvN7Plcf8eudKa8bLAKx15g/qh0qHTIpk7Ifc
YY0ssveecGa8uRr/m3i5By+XVaQXDo2ryC3eZQEDsh3c/nEUMSKUtjC/C4KkvuTF0OwFs67vv355
+t+/J7w8eFjOTMXiO8n38ceX53iVSoDfaPsthppTNGms85FVGCun7kNSMgFMgfsuC6y/xuCrCh2X
RjAt5DW723AwnSd9FNmZ8cpB08odfOTLQIYfIpqudQF0VF3yYmDw2yAxlrcpUVdvLVjZTTZW5d2v
38tVIP7juWi+1ZC1UGQaiHb558/vxY0mLNqtYfnAUEKkIAw94afpYjWUCIp7hkykwBqq5StF3b/n
dl8EizTLPaKysnniYHvKpR2G5sVG7EeohJaDKlCs50FL1nVtnRwZ6StozB3YdEUQydt2O/JTGByL
+KW0QEhEgfXsWY1x0ygtB+Lx7I5Rty1HO9uBLrVv0Pbh+laCCV5K2BNnzVkuWNM3pHijm+i3o8tc
IO2NkyxhIrvgI6eF1hrlwbKr6dTEmSEIbtRVYs1Udo9YV7xmVUxD/Pzre3l9cD/dSw6ZmDeozmkD
2p8es9LJELcDuiBLycjOhZrk6yIG0YDSbeMY2ncl7odzO0YDvVPKzmzbyrT/blepfDPRSJ8qAZ8U
ALLu7IhPSFcOFjWmPbmjLYEqlrckf9ZbCKiCjLIyG9+9ttfuWyYiB4CeyrNmJOKIT02IZVpG6mIU
6nB0E0ZRDW3w33xxWFk/L5buFWNmcCChZL/+/z88o6WrlhBMeAjqpOpuYDK3qHcI1t2VLOu3ymh7
6wpW1SKgmX+RZE4dyE1Vkda7brnVoN58sWpr/JC9UL/9+nP4h/XV5cBCd4//qJT2P3+lUzFmXWr1
ls94EDiJLL6H3YhGio6GM3S/OST9w23gQIb1gjOeq7Gk/3wx8vhsOjmN5dNCc55VkMDzUxyff/2W
/mFB/Okqn57S1I0juzYkhjIjij7Uoi4gMuRKCXMP68qvrzUf6z59i7Hqskezo84WyU+3j69kXIKd
sfzcMvSDoWTT+0T+2dGUhnqnDzXLbl70HqcOVc1vvTyQq1+/gH+4pcwoUF9y8LRM/vjpliq9VSKt
s/wU+vujhgOSyG/ynX99FUBVP79PZC0UDgxVWcJ1Favzz5fRWXLdMY3JHbXkXQnAg8pz3MRRdxmy
B9rSZzwlSzTh77NGuQ1TEDcaQyL2E5DtRj+uvBZIUhOaxcWuy35D7HWzsIa7Wi/hM48h1koOcDhs
wl1JEuMcajvJFdkfH7GIlr9+M5+/H5hZyathryRwcq6rPnW3JjIBq9aWjl+x7SyDFmg8PHrQ2zZZ
wb++1N9u26yQZePTbAoYDWTSz7ctnAI9dVoObE5qiz1dVmVLplt3EBLNj1EHLQxVzfvNRSkFPz/V
6FJZbyiXWFkdLHOfPq5ebyw9I1KS/LSeVC2YUIZwJbSSoX9GeIiDVRvqO0VEOyn6F4eO7drpR/2V
iEUNN1Z4oPZBM+46C7ypt3VZqivq3dkKUG7SOTSwDqKXQK9fik5jjs9kBq9PDbAHD1cFNnfh9MPO
SjpzgeRJvWWeTIeCzEkv4oS0UKCMLyJ1VNdSCyx0OAwLhVSPpa5AWaFXg9JSVxDcZ5e2QkKKZqHk
AbpDxL5k0d8lpnsvkK6fJ/sVCu57rk71OZ8y2GeWJZ4hOLRnpYr1dR8T0h1M8VUyky0kSg+grwBy
kNCk8cs4KfC2WgYS5MTV3bueenJjhjiWwMEa5ssQ6eQTqdlDWXa30t20vE9IJtq3ILKkbwVIUCNF
EOBiWdG0aFJLri1MqH6Odms7pBZZeiCzbxh9J7faYAdoueKqwUNtsufKVv+ojcQ9EWJfr5ESaKsA
HW1A/GYX+LBWnGwVsEt9TeocrQDNG8YbIzRd+95CdrxqKoOxR962ZrqcqnA8SAQCF5jR5LNFoz+A
+YUFvMV4BuAsJVLCxr2RLMbBXBGu7X0fe+MIefGBTstHTHX5GM3CCWPKM99zuydSH/d1NtTrmibM
KaCR8FjFsUE+k7TcxVgWGb8rxTPsTd7CM6pL5k2Pg2jdE1Ep5pagOUmkjSAjJ3FRC2gKnhE5TMNG
m1LrtgF6857XfGytRMy3CELxnUmLtxFTUG+xO5QX2grac16VKUM+AyVSU2AZoQF1WxRZeVGSdBYw
M7u2iKSoxhUQ8/FLKqbmYgRj+6XUgZlUihwf4LyVm7JQkhulhIg2DXhWEgqtmzYGqBWruopkNnO4
sl3eBJPS+kk/YAWGNPcK4U3uyIW0bnQmm6uQT2874Yu7hG36JjtnfIvnd9irlrKRQXerCnMzFQ+0
THENZ+O5CsZToDj1hui4fldoSfEtCLTwAXY3Hg9GMhTgLulYFd04xUmnVYOBcMVsP10Ug7AuTtWH
N8msnlbLEdTVKPPvrloPa6Uzx31GgPY5t9yPsLJecpVWwQIyVBksJIr3J6d2iq0pemUxjkhkQ2OA
6V6HIKp7knRaKZ5kWT/hqaHx1FiafEsLrXkUbmIjyKqyjWeMhV8Gub7k5FMfZSatlYS8s42JDV9L
hQwAy+BF0YXNcRPmygkGOPpkKOtHmeR3rLBM7LKqB1hs2D5/S2x0pz8GdfdhWJB+igGZRAwdDW23
gSgjCvkLCI3uO+jNfoe4b53gRT0HdUmjrFDce6Md32rXKu5S2dtnq2VV4BkkOcSIul2aWbdTqRqX
FsAbWa0tA6iw7mf2HhJqT2vCdej1Pa1AYznoRXl04jkUySAzQ4y08iyIdl8a8pP4d+V0UFXIPFZR
1cvRYnW0zHpkg6iIItDC+BVIf3vshNXf0OBML9ZY9KcG1bKvlMjJw5TMJzN6qdBgrIVNFqippKDf
VYn+miyEgf7zTZHQORqVQf9m9HG76N0KDJEXqhD8RHWrKxleqoCjnb02MvPRCCqLNVAwRg7DfIXt
90xEWntHgPGBmIFla4CrTeIHTFA577hMLoY6EK49Rvq7yhzuruxiKn23n2gj1bqD3mGCWUdv6yzB
Xq5IKZi21WDca8GwtHKw6czrO6KRW8heZet7Un/Lu+oQataKvL23PDKRZ4On2vSlrW+kot4DHVrV
xHGecqsLjn1bxIyp1bJ+bqZMm3XrOSpxjmfdIgwyB+TPCOeRYdKh0RrYjNAihzoRYLVqF8ZQry3D
3pj0pVMMCZHfsl224JOIEqlzc217ZrREELmn7Cg2RRwnhwJU0q1CiMR6zlk8hkVR7i0bIrppV5cw
0cg4ST3lFShT8TpJNdlogRM9Brlr+s1gRkfm/cYzr5oudZtYBKVF6Ya422kT2mX46mlKvK9cONqO
zc4pdXIHw6z0th0BocuSwftxTLEO16Ri7ErDgmA4WhWBv4l6SmFnrhv0T3zH5UVq35OQPgJoybF+
cGGd0VwPy1syL8Y7WyTuoZTpeHAmJz6oJphPE+3CU87A+bmFvr/09FS7G+ZsQHwd7IWhHm9M2URf
3cIiG8ysq3VXuc5zKVR1F4VesQcQyHYbjreAtMLVkBjils5O46u822PPiP3QdLV1DIzW8sOgUx90
NYwuadQYO9wH7hFXHxY0LxanLnP5U+11N5UTQ+ar4gcSPNVlZAp1y1fUr9r6zUXavM5T6kVmvfPq
AmieAWpaUvdPjj3uanNWdsp92Z4tNfKz2s7PfUr6h6Aj3Cy10oYQ0brOyUCycNegaX5HgpY9Q821
iFMxH/HQWKsCrBqVQdNt0HVKb9FMDSlJJu1SxbSzPWYcmzXMlGvTUQxwciS3Ooqs7hWrM1UK09RD
DVpa4a4ynHKtjiYJHFpVrCYz44sfNORAYpS2zR16x2lHlNKTazbOrcvPLxheKJfci9PTFFXvdq1D
Widojgo4leSvyvZmDnFyavN77sq9SCZxayWevRrGLlmJPox3ncF9ht4K7c4ADUY76gRSzCeQfEmh
FqxlkPUlDQIyGzp4j+de89pz09TiC0dMG+5oGmmkO+Ro8py6kzeYSYNHRzraXZY16klvetiRQgwn
RH71e21FarboqjB86HNejKKa1ocxqN43Nwpz4pGi2NdDfk6DisXMPJeQ6Cn61mQdGkTmDMb4qnu1
c8yQ+ioLYRS5Dy02vytzJ9+FVYzNrR9sPESGUh5E6HbQ5UujXDhapH1RAmqSOERyvSos9uuO9g+D
GTtQNybRRGyVbRU8mKXW8uGnHmVkn4nNWBkW+sKgsstFBXF/EdV6+jhLw56hmaWCXnfaYOII6ZP7
cWuEZIAUsXeThEm31hOlXxkchgYWG8V6ERVbkFMG6Yutt1D7LEVBXkiE76LvMw8hb1Xy4vHVZtQz
seF3pVIxramU6TwQTkrJJOvyXELSO8VdfJfZ0xupT09tZrZrSG76XopAbNt2em4nnQd6IvdgDBPE
98ZErjKGoYU7bzf43h2qWzkBiyjqYZVndrUqU7c9wtjV1iAUw7UDL3efMY0C1JgFw64LyZECeBtn
wGTZXUkEBskKYGbM44MyROVjTgZTG7xPpnPn9vqDdLtXjZwqxBhfraR+DnXT3GZCyS5Vp7rbWs2d
JdJf55h2btKsUqi3q0LViJMqcOfeZGopV7Cppm2WKq1GK0qnTiK+EJinbO6VOklI83EN4m9Kvb1J
8kiA6rQt63Xoc/RUvIT2tgoscUm94T4YMmNLylL+AqF1Qi3eq8aW1lL/geGouZ8yp0JqiniVfEVn
mysjsjyLbe8dP3tH8xWbk0CCuwhyo9zwJLsEocri4oq433bMs17yotEWUoM2YReC9Hfh7clXKgkb
oeGy0LwIbGYdlTvHyvtHVUZsOq7bEV0VCcamdjFxZlXhRZNrZEff+ZncT4kJIQtlVBAkUsagKpym
WtknvRsj2hX12UEPE/omrVZf6h4jFDNUrAWURGedxqGzIYcY7VFkFsZSIwpknddwYJXB4cDg0DT8
guG5eOHArh5oURQb6eoeD3frkXUFeM4Mpgs5uMvOQ+7X0HRcD0ajvvIM6/5owLVLWne6VTq19Qfc
T5TBBGXuyBFRTmpIdC65cTI5pWEVnCXFh2+Rc0QKU1oA1nEJ3GD8fsiE+yXt1D1Y+OJtakW0UcMq
vDeJn70nkUJZtiU8VBIgcg51nn2BsqJ+Da3Uu2sTXT/pjsr8CkHxt3kp/Ep6WXiPgrmy+JcJwS4x
EsYyVrwvztQ0D05C+uKqbSJsZVp6E3b98KVXxyheRcS1rLWqhmCGhIz3ECbbULjTMW0icaNNorp0
Ejl8EZfGDjNMcxNpwDoLRRdPUdkG51In+YX8ZP3Q2250yCjYniBFGpCdSeXeUPOUpQ/eQwGuNHjb
CucoZjj8hmc6g91jYtIZHJQx2xe4GDz8jH39P9SdyZLjSJtdX0UPILQBDjiGjRYgOAWDjDmSERtY
ZAyY59mfXgfZ1b/1X6bulsykhTZllpaVmUESdP+Ge899IPLKYZyiYEGW1GsnO+/t78loEOyptEwe
TB7Vh8ZN8ZyQgyDEUTr0x3FON3nI2jXjGUNOvhoCy0NcTumvrivatyZFQbc1dRYHftUoHcN3NKUv
A+qKQLhAIKxCazvw2AWNjRsV+m0Tj/EFCWK5NWRVH8YQT55mGkQwLHF7zzWZ7tAw5SbfkibaxIu7
vGpGSWxRouUbFxMjIClFwl5T9pfMmeE4ug4P/5gNh5qXoIGSqMsffolSc2L3326zxUUA4GkNu445
cuUj/oskcNqUKiQUmbUBSt29GESDEMWiU9/x281nXofzdlSjuDPGAg4wCWl0Uq02fkgY22+l1Mp2
GxqyH1HQWlPyiHah34M3ptjV1ELMS0Veuo+q+pEXygi9xjFFU1WYey71BRa3XRwyU9PN1yIMu58R
FAmtNZPD8kZYhW0BkcGWefKWBJqHCg0HxvaCcj2gkta0O5zFvXsySEKatrOU16GYi0OtXPMxV6Z3
SLSkQX48VkjNqPDTim+7rN0tfeZ014M94ChQapgRhice8sMSbXJfjRS3jnJrCOPtIm4Z7+GStBPJ
osolKBCBZqMdZzLVzpnpdS/JSGrwpOm2PzWY9DvNnX9U7ZGkTO893SitKn5Lox53XU0CICzciuNf
n9BHAulSv8g+6H6gI9tn/AnaFy+9eRvCCWavG9b9DVchxwCfjVVulwEtxkW60XLpKtutfXdQ+W6U
cLGZhkWc5yNSWQxmOVzesKrvEvKqL5Uu03daS9pFZ2rc3ylmL6brHNy/4AghsnXN6ZT2sYtMFhl5
Q8K6Xb91jVet8XfhlZUS36sxx1piJ9UTbhX3NmxllO001/ydCwZQE/5bq7dYnjDP3KejuskyYqmV
YgTml0qLHgmAyp9nJHw7U4euVceucYdKAlpY2g6t4w9j2e0WbK1HzN9iW2tJ228LUbW/gDyMh5Tr
6zXKohAavUuSF6+EsMdWpdlHRbm0nUB1HviqRqfGHYx7cGwaMffZKv6ehRbCK5/7sNwARw+7QDox
t+Q8qnNK5Mt1ohv+LWTjHpmuRicxzt+dMX63nfai0wL4ORFzR9Nw5sDFGbPDg4z7T5bDa1tH0Q1g
VO82taLke0SrmviqSpYLky1uhoLC2nc1gcWvsQzGoC36czXX2ncH7qJGCWL+dEJO3ef6T0BxxmBO
Gm9sxXJri1FHgjAmtPY268zF183F8mtktRtw5SDOlpAWXL3Kth1Xstv0O9HqEoCvO/d3c+jcI8SX
536F6fCywiDp546JTmYOp7Fv1LGdsAry7XjT+VtsHyE79l7lZHu7X2ZcCxGZUO2i3t2BOVy09woL
7J873emNY147XvoNeA7HZ77YH9lxVVumS+Yrt9PGwrSt/DRc5EUz5gkBLhaUKc9c2OHqHJdFc/Js
3Fhh39RfJIAxbitIMwhrel1tRqhhNlOP0aAkaX5VofIWGvLYUdJGfs1lNfn9zJXcZ2JGUKG0faV3
f/Ivq46QU1FfEM2UOyhMzrFyRKT7nHTGU+1CFmaUkZJAmbqzvsEuclRG91iEbXxvCOaCntaRYWAP
5jmEd92nPIdQl6po47rVcuAT76eNErC26bV5YmPvVI3eddJM5zVWtn2TLW29IXTAYDRbAEvi7r0Z
Uts8wwm2ofUmzXVE3HtanWwbioN6K+Zx2iQjdnGLLNMzdClUwb2uLatYl21dSX/14Cx0xdZIXnfr
eMln1Cou4DxsN6ZkjUZsTvlSoNd+hkqmHjUtcl7Z11e0RElYhL41NObWjdCz5nZqmMh5+pUWgjHF
rHPx1C8lIKUFki8tUH00FAimmqAKYt7bFBZJNpYbHCs9/q25SPYTteSeazoFgo++aKNlMowDL7Yi
yq1lfOcYJerJ1mTq7TxCqJQfqqQ/soV21WbpoB/uusQZHnuwuoec8h4bDOMR3PSzwHvqyUl7SMiH
uDQg/G7cpuj3hA/l2GSkfTtbZXOYMqPcuY3ClDZ29EBdbgckndf3yVzdd4VpvpCu7peteE8qGymz
J0mYtGeiM+2x2doxpKqgBDLYL/mZvER5INZcf6wr4sQaWP03xTLl56TLnssYlbWRj/FPg6j1yWkt
63nIqvAIYVhtSYZ+IssS1XFoT49TMekHaGcZRg1rAx62XPExpLQRgICptSj2XY/UCHBY5TPQNc9T
aQ17adf9buj+yJA5891WP+lRru3nsDiOeevsB4vHKI37n55u5WsBe2HWGl6eBWfvLBHGjWy+sqQu
jjq+4C0a+gxccsdsKHT6iifcjLbKVPFzPww7xT7WbEo+Y3ZdWzwpn1ZXqFM0TeYd4TitJDADqZCv
cZKWzJ/2yOGGXZXpGhbXXrhbIe8anAZ+02c1bh7ZDbt0cerY71kt14Bs8pNLHKWqta2Xlhe0/cNb
4cmvwdWiPbEhxnEpCSXp3dwGwNhuqs6+Fao/aDX9XdVH1gl4/R2z34rdQbHHaPpQaVL/Hddq4mii
HRYTbAJvHpcTA7CXzLMYK+jOhsXDRiQJw76ROCmzTU4RtiV6iTn/Mnuo0pnZvisV3UJWImIkSiow
Q4aICp/dvuA60OSuXvMMlEyOjli62q88Mkj8vmSTRenhnCRiPsLTaZBtaKh+Zcpy6xqk3YdrOwFS
fX4vCZE5YbqwArOyadpXMCBnbqA7UTYGAJF+VzhcnmyM2gS/EufQ+pMmCPBa0v6QL0uNR8Cq4hup
JXAyzcKQb+0IXfWDcIqMr2db2/S9nvEMXjuh1xqZtmF03WZ8b+sNvfRWue7ikTpRM8pok+Uh1Kzw
qalNAuIGr/L2jiuOnjQD4A/iBidSwgJzxIB2GB2VfIROyK3opDxSLSLx9FlLVMrK0UDu9xElIQex
IdGn6Q0GzJOd0J9sosw2pjfPS7MHL3KkeWSdjQRwGdiPsKBNb3M5whfPMOZN4F/9xYYBOETch7bO
CoHz1INgju38MZ3G7GnoLU5bzo1yj0+BmeYUlhIdSGI7b3WZDx9LJeRXBhdxjTcYiK/xqJs7+roN
HpJ8pxQqYLdZjP5AsD3ECJ2PmmZwpFsMa9QlrtZeGRS32xQ3MyvM3rlxbMkMX3NwX/aS0yq/oP2H
hlc3eCXEsSvqD/x+LT/odEcwg4818c6EedulvfZkGRM+ExIqowdJQXLmiYvfwiZt6Igbf+oi/dZZ
jK9WzkMQLaImxq9J2C4tjV+k3n4svHecz4+yma/IFWcUgIBIgxTq+nEmoTNyo35vlW11gXbpbeyW
B71IGDZi5VpFNsbwyN0NmMXNmJKleV1saQPoVHscoGTpqLH4VqPMN61ldhvKnmNZxqhwnZCeCTc9
KhObrVTtddOThwPuJRpq5c+JyZA6l80lRcBAYteZwEfSD2fHCAw3ZkjREbh3pV8o9C2qtIZgTuIx
R9w274mRdsWmJev3pPpOJ4RVZimFb8JauOm5dIsh4sjDjMe8YEkj77DoJGPotDqC86eoLnpeyqdm
8gwKLeania6xHJHpWwdbf7+MnLjMVudzUsmWdM5ZXReHrg2AChJJR9o8LHd2W1ynyTAfImWE0a7r
zeW91pMMXAJiLcvr7StpFwbDL9Z6lESwIat08fTznGt64zsObwN6MOJySFMI70xGQ5/0pnQhKg3x
0ZPMuOl5/3gntdgB6yCN/IUWDrRY2+6zRWymwtBPlqexL+jG7KXom0M71BOWlOm1JziTdzB6YYG8
rw3XOeTskraDajvcTUsbY5+XzLhT7c6MWClyriQvPUGxKEZqOpORBw2lqN7+lCq51A02aStZ9o5o
g3K17tmEv26wgmYb5SZM4ON6GwucNB1Km8HH5BvtvKUQ9PioYezAkslvMQhZ74e0ng4F/ecVyy6z
VdtqgDSI5qvMmMcGs+ABmYj0TPyi8canXOL33jRGT1AsbDSGa8q5JQKkeBEzXP/9wLAOvxYmZH4u
BxFvaUcPcZNd4DZQWcBiIdujYeUgipwcOA+cb6sPFRjRYlKPCg8V4EmS0AMRu+LgQj7M0VsMrBNI
M7imnIqfymghZCCuebJJvGNOPNfJSeIgrWngiAKGOOmPIqSRq4R2yhNR0zKRHX1sxWiRPy2n7DJR
x9yMSxgRQtLVFtu0eF5NYHnFlx1mAfnxPW/5RhPDK0bXmP5DudvEHgncdI2Usk4cbafmGpxiuZcd
FZRPUyrOdHCVH7dsFcegadRDWX91aaJ9Y9/UNq0zaLfZWvFOSiSP6PWqi+mNAzLpPL1PlbIPfJVM
SKWuerVi4WxdT5OBO6qSfm+lMagOh2xWzRt8t5xbpchu0TkRCuOsJt2wmU6cuBjSqOV2A6f03kaF
7S9gENiMNaHxK2fccBOyBQqIaYgDeMz246C85Ezsr/w0PKLSyW4iQpcs49kMBktqfkz88CaPhylg
hmQGemwMfp1p/bVNYvlk8Hw+xLXBoxSZoLIsVT1KpFo+CnOcZtLsUGX3uF4jaFR6o2dMU7IlCdxM
Fk8JjJ/90Nn9rybkrKtwEaX7qUTZ5i96yisutCEGsVSuBvPI6TtikuNPoALiTWK9u1tE1wSsEzWw
oC6J5akpN65DFInQsbnJLK/WII/lFGsE1XKKj3w6U9W4H9qkvcHW/I5GxzyDuLnngWJazzQJq3uf
3sdY2odgSNu1cyA/ZL54itX1Hg9TN+wrDs94E7fdeOCxbigfybTxp8KNj/DUoxen0cH3cxGNelB5
OfwBjXcWyYCCrTAa4UE6RfspIlIzmLmHjtnfNdhmj6U+g9fNtLGFfIYN0I/7JHyIGBY98XQlv7Ky
Nq6kt+WB7XTRNtJktAurUN3ZZZVvGmegvwwXssf63NCvqC77l0wJBlNu0TAOV4Z7jFvRbJCNRd9e
pNygDuEzeLZanhqPzN0SdzZRWWa+tZ22uylnHYud0vHg9pnxp0seNrNZNieSgXOwXgQeyiUyjlrv
EZjDHUL4SA42q8MufWHQ0sMfy7SPLIrsV7Oj0C5pkg6dFnfMYR3yXpI02Rm9vc3FPHxp+EWOySRC
w3fEZOebmGiZUE3zPU9kvnJi2rfKHtNP01tDj3ANPpENO+Lgo9+pCXivVwUDxnJwCXPKfzOmJM9L
FHrDhuWGO5Mv1ndPxlx0FyurGnnR3XK8Adhaol3SpgE+DCbUJsHU2qtMv19MOBf0EIVxINUr39Z2
j0bFqJnqgUl+DkdTXOIaxqswHIY2uZj4PvPVq6OOJaar8pe4LZCQaEioVFedtUp7cUrt20Ta+VzU
WvNITny4g8mSrFUt8n8rSV51orXvFny2z+acjY8aUcxBmj6AW8l3wkqHa1bZ3b00zPmqER+xTRGi
nMwKMBgemuHKsXLFxGueF22tD6Yiu2A7Facy7/R9HsXFPYQcssnlmH2NY0jY1yTIqSnGhFZF53RA
YHWgN0yiTVOLPibE05LH3Oma/Ui4z1uBAQnn5KLEZ0EwE3uLWtf8nDr5lCYyCkrcYjh7IJZ0ECA2
UT2IDUYfpBHlQLCaGdXHoraZ+9j9vjWd4aaewmqDBdK4Si+vOGv5qXA0JYXxwLA1OY2qN3fMbFP+
VmfeVbWeHaMhN+9rp+m2Bda0AMu0exoMRhpp+YPlY2fP3Bk5lJQ9ZTTUk8W0Gp/kaH2DxaU8NDZT
Y9Dyb8T2fKFS+naZtmK8AoQWGrvZQaLW4OLd1031ndlZtQLwCLVqc7/AWFtnixXExUjiHBgbp3rF
oYsZRTkk1bAY0oxFZ28cb/nKbsB2BGPiGMd8rJ+WzjigGNo4+hgfFmgh+P4TFAhshXp/mllkuWDL
6qLT/UhoB6U3N7lpHYZ0ubUapt+LYbMR4q88dO6c7qw+Qo9cK5B/bPfTd2K7WmCJUXp2nSR7Euy/
nmVJx7jaqn0b0tD+v6tKp25kdb91iGX40OLYOtMC6zvlRtm+7JLu5Y9i7v+2HXP/XV0+iu/uj8/z
s+InTaK4/1fb5z9+CcT9r383+Og//ukX2z8ujofhu10ev7sh549+/olrWf/P/93f/CtJ9L8wWhqm
XD0E/7HN8vDRLh/lP1kt//ozf/lAnH8hNk7XHUdinbT+5M78qw/EscChmQDRkBaiL4Q49g8fCIk0
VBU2UEpk3RDz1xybf/OBOP+Cq4Qcm9Vn+yfh5t9e/F/2iP8Mfs+R9jdpKKUTNgksyhDPXDydfxP4
Z4aIRZbFJSNdzb1Dljg5u4JB364kM+oacQa+SbfOjyXz98z3Vsy7nJEA6EihDy0UkWOKaOYJgj3C
FhLuvNdqcM2rmErnopRuvSSwrM8cOiZjXzP9XSWaeUG/NB9L/nuwC6SQGPGQFq6FpvWVzUoMftew
LMKQKZ5pV9EWACMqf2igxbl17fwZEcWajQVUkuvLuO8aE6zvgsm+j5HSR7Ub+ZSL6WvhSkbIJMK/
6nWcnsGXYH3udcaNVA1MKb1tMqIfBYWKb85B2ygzV2xMID/HKncBdUSyoU9gNXlhK1Xukw7pnjVn
eWA2Q7Y13Zmqpme2Pc5pfxkYtQdeSKRIjNqHdYZ+a1lWfWZhot3MuW7RHKzJilSmu5EO92ns9f7M
WERtU8cuL42wOqLgO8ghXTM+5mXcH1HV0X3mKFeyQV5CVPQXu5lJlJ8H782g6dsojVstcoS11UST
3eW52R5kxiAJnAcczaFXH0x2mQUmab2riOOm2l6PdEVuC0Q2edNCm30Js/qHwHFoQGVP0tlmLrLp
Te/n6LVfodELlrhnj5TCb+TsnDGWqwAQJ39gxAtr8eRo6wNyqYSt0DoRgpxm/eEbu8qZ31NiK61d
FlrJfemiLkrY5p08LZ63bY2iPLDYIiQB2DkvWFDPMCXRTM2FcZQzNq0HVd4yXi1+jJXKHI6GYH1V
GRK4ZlXeIq/SoO7J5omlUR5YDYIW5o8/y5yWDyoGPaLNtnnO8igKCq3sf82pHW1BxQ+/nDFNXitd
i4Ku0R6FndandJzED1t56Rd6KmY/HZqhgpm1zA9CpF9x7L5LMPnnulV4mGYnPCHOlMEwlTLy+7RC
ORj25gC5C3HKeUQd/xhXaAQT1S03M0bXO1RHe+SMROqWBg2FE423YyPKj5ZkssPCNukQgbe/bRfo
/5IUGWD+ITkDHZNxU5n2A1j86m7qp4Ur1Z5vMA7Lt9hsbXebqVG7oklJXqM6z45lNk3vLH/1D8go
CCliRAhV57qnyWy6IPHYr9nyIZmN5hF6UEE4aT5+pGbTvMrZjPdtNZhv9VhHRzWM5sKdGrLoqZiM
nq3CTGJ04U19iTrc5b5lQplBe8c6yGnrOzkn3X3i1vWvkJ0XuTSFPhywetBY6LQAO2JPMQ7oC0S7
wjIekTYYESrywrwTppwP/RwznQGEA4dmFMb0imPLuUHatTAi1Kozg8/Gt/tU3CXK7c51SVBwT8bB
TTc6KF9cJ0W/ZYMHPWcsOIHC5L3xHQJg+Hbtpf/Gf92cKeFmUpELZgQbKcZ8O5YlEtGy61rmWLY+
vYBNL5u9wWIm35RyyBzi/tB6E19LbxGaqTw1ptfEwVBC6RalM2yrnIt1ICm2DCoHFEZQW6Xrrn7O
ettjW052Cl/wBeQjuxP0N+YbASgYoMPZhsebSWQL0CkiDXxkPtENtYnt8u1UU3xLvGN1Na0Y7ioT
lYE0wbH8YrRrz+xQIvFuMX6SpBl38duMtsNCnZohkXHorRAN54hm3tgwkHcXI8F4MXQh0aUa07XR
hSpvEm822Wxq1XIEzybLfV+4JrmYXqL9jirUlihMa+c6IBYjFCR3mRjVKIXNalkPbQJ3OBgBwSYb
rS/n3SDGZdi7Qp9J3hWe9mbHM9QP+li89IvRzfPZRh2tHxKadTYcDJ8vU46ad4u1Cg8ZGnYCCzsN
YOV+KV0GgZOQ1RPtOHX7xFAJSWzYdr/1VrF7GxhwxCf2s6J/qolHOjmtKnakw4K7coY4wgPVFMuT
HmV1urFEBi+pjQDZF/DLWFkNk0WsZMfQjbRtmx0oyQsZ0R5GikzKRCsmcsS9S5rbR8PoaQU6yC4/
rWaXvxhid5T93ZJv0F9PkZ/NTf6YZE74a5i87px71g8ilBblh/cIrQ1sppKR5fhzXtm7QS+8G+hj
8/uCcprBzzDa79ago56Mimw56nZEc55gPNhHBhTbkO2Kex9lIevUxSoMRqrI83ZeipRy2zps5LPc
6y0WjosNL4nD94XdwHzqwiV61a2Ene+QWx0CXx1j0mS30zf7mQGjxjQDcUmwcIAkkGctGzvH71Hd
tn5fDPKoaTnf+5YvwrWWuf289HYGss1B4V8YJQ9ghStk2aswHPchMviXAVbpOSskqbyZpqfJtrTL
9Mqwhp/ZyQEL2haL7kApmg5Aa153g/+r+eXaaWEd4TeTURk6BfFVNFd5t2n1DqU7AKw3zczZoMID
4weUY5R/NdqIdXVuUnUptZFvTI8B6xeF9nDiDDU+dKNffk266x7zckWrhY5KOXtLEsEm/mrWBNU8
QJRK1UM3mgySELkxxJRSe2vY7p3E4uovRdlz6RFTuw+T0nuN1MzOuPbyB8ucoy6YZjkGMVStMymh
MKeqkHeWQ7e/S0OL+aPHbud1HK0FYThUtnctq+qjJwx4b3DHzCeZILfzORW136ghFzS+jP0QOKKV
tRBJuJQK3tDnHwkrknqvjSM6jxR6UuanSdU2+5Qu7toX7fBUlXr57cR0/7+wjjAmapfJeUwBhUWr
O4R3co0OZadaZfdebDDm6kNbdBsLHfQp7AsTjRvW86mPWRp07hQG7ZQERqry33xWM6jH2a1fp67n
FhiZ8VuWoR5hV677KbMqWj9q1l45wxP3oDmZiHD3afprnbKP3qjBcm5HVqgsZBhIYRJNWm+4dUCj
LttssKM+CGPZs3rO+NcnR3RIcLM4vIb2nEO9gDnnJznvKgqr+nWAYPjQQw9DvZDwuacQgu4NKE9n
Na9ICd21usfBALk1uYwDmPEBJ7Jbw+UbT0YFutrFvkXlRWKpxQ3Hk0G2+kFLB2NnVMbAenrMkm2q
9J6K1iBRGf5XekdQH7OKyC3FhzLoAzXkEwSj2p1+sduZd8TLs+ZW12feodqqk4PBhv0jS3LzE6g4
P1bkpf2rx76c9zde4sCxnOjTpZ492PngvSasMvaxAjzcab24ZDBAzvlC0nOA40bt0ymVB25aZmiF
bRSMaFN9IeIn7bzbEKnzabZ6pmpKOD3KrCTu3lnIo4fPS/Dlee0V3+GQmjcy1KLfLFEgMkUdEyoy
AC6xa+rHhQH94v8/aQf/w0A0mrp/tIP/4/+nppEksf+UzQPg/uMz/sj/23378fXdxf+eI0AjuP7h
v7pH7190HcoyvB2Bp/0PGPuv7lHSV9JOcmAj+YO4Q2f3F0XAJHZCMhLSHUz+QtBH/qN7pLE0CX1w
PQIGiC1af+v/oH0kzOJv7SM2NVAERF6uUTfY2P9mVRPYXijhe3dfhiGhsE7H3qvzQF/W2tJ88kRy
XOmx9zo10t3bK2C/sMI+cKY0PAq7wd6Ak+HApSOCSvR3Q+EVe6vo0/e8JR2iwtUj2OFlzWfTs7j2
Ohwd+bREF41d2qPrxdquGkqCpQzasC8MmujN4s55rDWZTNtYr63PMK8Ky2dOFe9Grdgt3nBOUis/
Yas1KNzt/tgQ7g6N2KI6KfVdUnt3+pA0hxrh/NWOGu8r01CMUEEvIVaJcNiZJXbLTZ7m81eUWOH7
IMPhRnUpi2Z77vcM/+IDbs9lvwid5K65YTUo8jNrZvfOzGHHLiKt8HZB1W2WYRWVWZRDQ6fuJzT+
rNbnGM+baS/7MC9Ro6kwqV9GVVXfSZPYZ9QjJm6G4Vl1uveLNYF7bzrIj3whx4R3tQJz5yYVO24k
1hglw7jjYlmKdNwDYps3fSWyazcsOlRGsAFlJj4RrGMTQ0l+m8RM6xLH7Z5yNh5HE6svjmylSz/K
nOR37MzaLxFG7gnSpnUbuV34u545RP0Z4unPyJzvXFDSXCtupjMfOK8T6aAfNiUrTd26TIwDysDB
B7RZuPi3oe7+AM4pA+q4Ad72OBY3TVbnfsu5iegClxxDZpBlJuBMHniLN0orye8RkHVU6AWxO+jX
MQKkAhqyOXiSAWo9ZMbadneHWqAgnti77N1IOHRybIBHBsU1wW5mytI/fHUpsQPJ9u/Z0nMS6Ttu
sV7F5ttMD3YYBKK50XKKuyQHsLRp3XjyGSgykkarEDhht50yRwSMsNst3olvouZCKreylhfDGNPj
0Lg+Hzr+yF4vbqdKeV+ytqKXeTTYkk9m8brMIr9xwVYi7y8bLv/Za+h4QQRMtS4emG7oJTsFzVqD
lNrCt1g0fnVWd+dZrbYxMFLtQN2IizKXYpdO9nyh4h5Yqgue2kT38pccGlUTzDZoe63gPfNSA/Fm
Ww7viu3NSXPd+pGa2TmppHZ3y6S3vjmnX421EolY9NWL47xCzMVdVVAUtyzHZbukwSQzxvoURi/4
RbwLHF/Vb6Q2qq0eTrS3TZxGl77So3tTMRrtY8BXfMsUzWw5tfq+M0lYlaHOxHxJ0TYWsvx0iaH3
WCVpzUGTrbVDTepuEZ3dq6H67Iz5xs3CdKPpUyCQae9avFvFaNYHtwGLjKH3GUJxEBmlwJ2f2hkp
JvZ/5Qs211Ptn3zjnJy6xTltoPvgEP4bLiwEVz1VHccBzQTAKBZNimiWmtU7j2NZE2harRtisTW7
8prPOSFUVdPi81BGYvpRWA4naMPTT1jEQ1DGZX7yGJWTbC607LaKzPJaQUrYdQ7myS3UZKvY9n2L
aJsKMXv0/nyfsz/fbTPuTOtY8r0A6LeeC5NchgWfrYmYdLC07P3fzTb/F3wVx/q7Zd0wAZdx8wBC
sGwun7+d+IvWM0jMIn1vyOiJlS6a58x8QhH7rls6QClS2dEhRM2t0w4OoGo+4507zmxPmxbDia9F
sjW2UkGHpt0NZ0pYOQVtmo/fVIrRc1zMy9FppoNF5Qd0u5k3Ymjf3a7fVTEVryy7G5ELl9VZ8tkQ
eLLh2SruZ8RVRwamDeLhfLjxjC6+EU1RWJsuQxWGlcs8lmNr2hs90/st76PYhJDzg9Ee2VZ4c3E/
OJP3XhH1876M+rhjJ1X+FoU5XGS0NJc8avEgTqtsqZ+cawXL/WgXZni/FMn4yC+dXauG5IoCL75B
9KcCz+vdrUK4t58QXewrG8+ucKfliMUGgwHqzBD9kIie2GOloz+pqNvwY08MILN4lxF6sW8nCb6K
SxZSeTb03EED7V4Xtq+9kEYQmV79SonvBQ0tzg/x0+QQ9ll2GvBOI32S6YmmbY20R4T6qmErv/OU
qz2Z3SQObMrQ3yhXr76RTc+vtlbZr9Kpyvs4bNp7VrbjjY757wB4N74NG709MLk8Fq0b9GPsBk7V
9pvGXTUtzmAwIJum6WFeN1DjVA6oy3Mj2cckO/KJDEhelqZ9GjBpbxg6UOhWhgAFYobPVWhV0K5Y
n/XpBC9XyQk7NiacdxZU01mZor9VbR/jcejmUxm59m3hZuaOwjm5deRCp9o6romiLF2wm7CX3ejt
iEOUVdMdcwTMJAy1m/1sREg8izVG0zJxQOFu23qjyu6HKa7O9qxWKUdJMxaZ9c1sO95DvJ4iSDco
V5yjxoqyRRm0iPgpp6loprzA8bGgT2RdlCK936RcE5uFo6pbz6zI5vQK13PMjIz4oVCa9oO7rvwc
17Mub9mAT63wrTHp/bLL5V79ORiHP4ckJ4UVDOvJ2a5nKKo7zhnkDYqDINb7DZ4D77KsJ++8nsGt
sOabcqo4c2v81NcyHF2SBhZOdKNqHkenqU4KGc67ZLgVVLnj0Jy3Ylf8uRjS9Y5w1tvCyHHaYq3i
DmmiLIF3wIAo2eBW5wrSvZoRuactPbNDo3GeF72Sd0jerTCY13uNmZmJehsTidwTGtLeaGNd77r1
nhzaVBEYtd6gZR25v8kcI0JL8kwjfhZJfSLbYuQM7ckFq8Js2ocxIBDMbOuVrvSOD3bROjQMknQl
0huc1lcdH5Hzp2pY1gJCo5JQa0kBQILiIrOnFJ2mI4N4rTt0ysfQi5uNXcR9yYjHdbehNsynIjfq
AG/pfAxlWSAIRMpZU/qAzyvSYzoMAtmIG1v/k7wz2ZHcSLf0q1z0oncmGCcjiYve+Eh3D4/w8Jgy
ckNEDsF5nvn0/TEltVKpLAkFNC562FQBkjJ9Io1m5z/nOxutdzF+jgVZAk56ydnSm/hgEGw/x0Gm
v4SFMm9p2HCu+USxNbiCsNkhtbtfq7nULyOa3uc+7fpL1EzRk+ji9sFHTGo2gezsQxuEYiOIXQD+
Rq7hsOkO8PWo0bhVwui8WlQJjij+KOuGrmpm5rp1ySgOOZbYqm/brl8gv4Ndfxrr/oNE/9y4jliE
LUNau8x3tL3DKfrRDvjgMaeGAxFJPAkh3vtH2kEoASkbi2hnYooLVabGgais+ZDFhbqQ6LbW8KG5
PrKoeCyx6ESrQtbpwRBRTAEXMcR8FfZOzIO37NYkx+LmrMo82Kp+cD02lvLT6M7dZ4IRJd/xjKWZ
DSl9BwN8SrmCV4l9KND4GicU7H0S842v01FFmPdK9KbaEUe36jEvxeN4jG0EOCxRtUswGctRFAj5
qgEXmLFjPpLizNZk0tI9jOboGOIAH/nSHHVP1C/5GNN6sZmltGBB11n7KUBL+khVbbOVtplCXUj8
Pf/JJ4kPass7srYt/KWTXrpc/MJuUx7lMroXFZnw3EgX7wsTgQaKtjIvER/DBxa9thR4yaLE9RrP
X6Uu0D7bAjQka6IhNqWMi50TtRUhfF1+KBr6mPup6c6WgfwRaKjJA54c/rA9Y1cNsfUQzquIcTjM
TDgDgNJVR1ea79ngfiKAZxB2prUB8kaRH2wYD9ztA5vyPK6CK8r/tGflYWMNsP85HilhSIrsWTNL
/YNZaZ3Xd2n5MlhW/OI3sv6acL9vXFwfXt8CRnPls6FStaDvLXWwzOIMCOguRsFm009hdjeOapsA
84TqlYZNQT/JSEwfQ6oCRIUUcnBUy3PXT6wjmp7hzW0Zb7Xaml4JNFAVQC/FaRwENqVQ+Z/1OjL3
gXLI0NkQ9yFb5yMb5bGbaUkxSRaG/t41K7FTGtGdqM6iUznBGj9BCSquSvT6I0U9DZwyoGhf+4RB
4NpIGucmJ0plrPrAiB/ycmAwMQ+kAaizznZ2bJaMPBjluHFJxl/4liI6BTCBv7WP3tIIGIpvl/VR
j0BsxE7DZ+9T/zB0TnzKNWoDHT7oBGBEpEQLlzYg1YReTth1O7hpsy/9eeTgZBgr6K3TYSTlsI8s
Xn+Uqf0hYycYbf15cs+E9qadVRrFztA6+2NYRdpe7yN8yI6gJTxLJ+7aepKQBfIwbgF7N4c4bV6Z
zp1nW74vo/MttiPtre2FfcfElsdj+UjZookkF7bNVQ/qKdsPUTR/iZkprfC9PGegStcCnMeGBKy2
IZM97B1ZNasJ9MRe0iyyiRhhPrcBqShsRyzFVd3XLEl9uwmwHN6Xtp/pEDlcru80d9pH5In5UZUd
1uVEOt1as60bmYTMDQs+8yXNC/0cc2RfCT9QZ0ZI+n03RC1+xbZ28r1ru+IBaJJxMbR8eIda4DeL
z7AcibIEc6juhJpMr44StkUiP2eoe6asiAo0WGyJWMd7FXUVq4jOGWNsxCazvkBaS2NiCzmzEDGl
+XoARL4pmUliwZpv2RCeWr2/tWT3wUk+FvMV4A3yPopelevxe2wFt0mSkU6Av3ZvW371yvXFw4vB
0t0w23Axwrz8IPueeQDIf+pvBM/ZPTzl7nW2muFJZa7xig3LelEMktatbMxDg0x+5EkQ3qiUHJMT
ghfp/DTb5gL2RRwHh7aOkRftiEjK2IX3THLVdZL+9NFCFl4B88gO9WwSFoyJ09FFaKWe49TWzPPU
Hj8g+6k1sqxm4LkDqB+YVgYrnZp3E3mXATJBX5Bm8ARFQR1CapuYYorYMwuLg2zITnZKsa/2kTZ6
7CEJLZkU9yIwG9K/UJFWHsxqscKnnblNdC18wlwe7Xu9tdaIvJXnmLXr4R6j9ozkFNn0JXXAe9A3
FUWf2x7+wgcw/MsEdQTolkfZNchZRLHQinnXLw9cR4UM47TkKRVTeUxMbHkJdVjU2ECGJpPJmR/v
xaOLELyduxJqAmsGvvEpLbdWREZo3aZiUGuoddyBSS5ZsGcM9mvVcWfxVop162b8ib7N6BMgrvw8
5US5BMPuz2WQG16YsELAums2TasmbpUo83IdlbvNqWfQnCSGCVewmg1DRecjpSkTGMoTFVD+OWdu
Qc7nk4UwEyfyECx1PqF/IiCeUHQ4GtuuCFHxHQpQ7EFuU2uejih8IFBq98q5fK27pB8TPQOmoYSf
ncOEFrRs6G38omLeRqMVckzCGLqq6Ys4hY5l8xX42mGoC+0LE1zidHqTv4f+MK6guEUHx5gEiB2f
QKrhMyXP85gWtbRIXoGDYH2qEt2/mqJ3zzkb7QtnlfZEr093kJNCWWKuazzHgkbMpSztNVP0iujU
5p1isdBY7DL2SkYvnjSidG/2NX2WRt54TUSV2MhWcoxxO+umOzMUjbU9d5jx1HJcu7SCWknKeupt
lKF9hNgfNBngw14gIbp1HBuP8gMsULlLgLFbMzh0rnreuwjkdvysZGoeqiRNb+yocbCuCuvgD/El
MNTQ/apu/+ok+slZWP/ZUdiizZBpsSRB7f6AqoPEo/u+aTh7ARFva5kx8bOgB0lTWVi6AQVw/jXS
MXgMVJ4TaGC8VGzCsBT3eGmmTxjmynqbmla4JU09M1tY9Eo0HdD5VPAR3tdCnM5QohaFU6oOP6sz
IhBOJEOPYBhMSF6cEMWvhLX/j01cBhI6cLd/beJ6iFALsu9V+N/+yK8qvOP84uoYskxLIXUDEcWO
9asKz7+RC6lekoLAyM8//02Dp+ld0/kHroFEbwFxg1P3h4Nrwb9LaHxYa3B3/VuofO3PDi6FmQYP
mYUMz5rLZMv6QZDxsdzkA0uRZ9KbdmRVAypfRGci3+URHJu9IqtZbsxlY8aWcHyKhiQ4siRRwiXb
cKO57GUyvXc+x+TKNn5b2tc868ZDIUq0XHsM/+G2We6KP8Szv77fHwB+FrzMNiIy77lROniTubi9
sYetVO5vZMkxTa9ceabFxt9/95P+5H41fiDA/vWllxv6e5CnMrOyLo3JiwIyLvPYxjzOK2eHyFRA
IRHwY1zgdp2GypoQhhv7muWycrMNu5FgHZdW7U0zaZximWSQICMdW4d3zG66g17y7SljvEsNPzj7
LSpcZJNNgikgvWaOFobTtk6jpySWFmegStBRDzyk/8A5e+IZS1Yd7GmGNMLg/aE3ZEBPo+2sknSM
tmmpZ8fMlcWZxrLoXOfz8Bp2Q7vRaNa+ibSUIGs2V7u6hAyUf576UDL1DvZ0GbKAuGEPuEaTT+ZQ
jAe7z4d9aqQ0aI1BtIvt7nNcuw05uELvPjBRlfuQFO1uLpDrKLZEcQotLM56/GQpH6rrcF9h+js0
w2ZIxQezyd1Tm8YZPgn3pZl1gZxWnurJlJspVPoNOS8weUwsMfUbG2eKqTPCIWwMqPy9Y7+1GSb2
flhwt9CXjd6n+Kef7qi7sXbEU9ttJ32DQmajPZb9OO6woekbP41uMcMbu7GWFC0VjxSsHdlA+7AI
y01fSvLOAaGf6qigFOLmkNUuTsxxQ3kxA45Z7xmdQo/SBxI3+TglWHtkseWDMe6N8LJbtZIfB0y/
WxUwFIcc1k5emEUg9V3w0IBuSD+e/MklzuLo/Y760MexFz1IzbHdjBmYolJ1uwBIjidD8UjRCyDA
mu672uU3gXAV3rmkKLbkN9Ib8rVbclQazjTlUyqq5L6NQv+Af9BZO3oRbquCRi3YqBZOrTLa9KMx
P4qxYlhCzVfR9+s+zA6UJhibNIzSbdRyNY+wQHZDyTiuc1zyB0k3nQbCsOsxamGG9BkcnPyxTVo2
arq1rxhVuKHzKMFbNIomcD3lu7QG01pRmuopgzRfUhEQzG3qSdFg0Ys6djyuv0J+sDxSGvYy39sr
6znPG+KUxuRQgVTil0y7mFMVrj4/BVyWV/Wqsp14X6XDlambPIkA2o8axgFbNU/qgp3raSrK5AEz
ptgwf9iPg/mQFNa4AUlIN94U0t/VxbfKGXVOKYxg2gIEURvLcTMJfS+Gem9x8N6aKrh2OpR8K3NP
gZUcqsy5Rg7DpmoaH9sxomETiasNb3scDIyr5s1A7ePYPM9pdWdXGjlr2V15bjtPOCyJMNjuNpcd
o31GUiqoz3Wib6Ysf2xETd4bGHCYfZZavgV+lWywz/TrSidCglJ/C0U4BKKIdzKu7qPBPYpau8OC
fozJ95zhCQkwwtNk7wKfmAcp1KL5hBHY4nvP5cPYkLZA/L4Kgnc7n84G7u1+/NzjEqQet8ZewTzf
fQtT+qckH+swzog6CDImM4EOgc8n17LjtIJfHgrieqTH1KvLiNLgBEdP2UHcrLPEund84mNpnwBQ
kFXnwbMOjwbrIk3qeGKwbq1Z/YbTJGFQ1q7DYtGyUwFVJvdDqDWUdoGxRLSw5Q1WO3lwq66+VhQZ
XAZw1V5UMIxjX8Z/GBfhup+NkB16LW8U2Jtymo61DjvNUskjaIH2mGCq5BI0n7tpBqddQhLlGIwt
SWe/L7CR3erMQ0m6kFRvzZRNdT1QyprMMyPjJjoENrwDOkMkgm0UbXHkUwdfNNaHLBdH24cSt6SJ
s9mJvRxMED1pavbqweZspRXvdkBOjVP13lKGvhZ9kniNG70CQTO3JpEdhLGcrZovqJQfB3IoYb8l
RaWRfCAkPdfW9R+eY/pfn6BQwnjuk78z6JX6Yd/pFCQlwG9qHnewXRLA0wUQlYbi20XYZRIhNlhz
k4d2LlsvyTHY+cvdFYIKOcnYB84wwN6CrPxBRXF9nwy0fSRhzcrH3Cy/hYwCpUiT0Sbu08CL/Db3
dEBk2xp9YtPk8lhXbO3tkjoSqk5Wom2KdVZn97wPQal1+vb3n5dN1I8bhj993B+mbQzrIZAklsY8
sPGvODSN9TQ5zSZzxPzr1vdfbun/bGf4tkGAdy8xVfA/SILLv/9ug6ANHK6AZ2sMme331kbimyzz
o+EM+aa2yg9//7l+GCP+9dUW/vB3ryagN/Qjg3IPUZvxpmW8GAwED/EQfNEiOmgqlbQXcMzh0Wn1
2WsFIT09KQkDY5g6u3HnxfySm4ZLM8UVvoubrj0CPKBoc+wyTED8hIlFUwqTFWujT4x2qACjtzXB
5ZqOoCL0AmGB7C/tODyoq+WRbfLs/vvP+bPfz7GYRwF+ZxDzY9eEJsxQEwlpmMIt7sGVgSjF1NCR
J/yHF9KWOokftpaI+3+80g9b4aQd85AOasPrgw6zlO9iV6cwhRxBsc4T9UnpCy0GMwtRVnYKJVPc
f6A3/xkZ/e0nZcdPeaKtOw7X0HLrfveTJhnzFcFzxFOVhakZSt46M/SErZsSl6gXNHN2VZr8w2X7
sw/+p5f9YU+tt8wfqRg3PGFaS/+19cVOGGuQgE9WUS3FMZ/GW1809YXWxGJrD5TY/v2P/NO3wFdP
8xcxB8f88TCcSpjUZRYxLozI0jc8EpE3zxATyKoCV4UgCfTVkew3DfWRVb/a/f0b+Mmt637/+j+s
EovntqDjCHhx2n00mmikfck3jlmluIlFcPP3r/bno/+vvzPeb4vfmL4W/v/Pv3M4RKJuCwgnRF7j
G21IKOho/Hb796/ykzuH7/OPV/nhMzWGNMD7F/D/qDMHNlBoK/ipDCRU+Q8/389eafkoktoZTqt/
WfhKt8uJJEtv9rEnEnt+SZV74L79h0/008vk+xf6Yc3j/NG1flqb3J2l/TUaMMrqAKVIQaM1Tp3x
kATtAvVdtseUsXAUKNvyn0pX/npkNglkkRKm4culBeeHdcIPRzhekW94SIelNw91/1jibYP7Mhpe
aYxPZH5BffYBxWQ93VOkLMjxVanE7CDeBHk7yoAXKDC7i/yUBNmLqo30Ai3wOa5V8Q8HZuOvFxtw
OddysWEu79j64TKgPjQBQlLz1oLulE/IQFooo30xp0DLxHweXTVuyw4+DQRfjE0Rzi+D7UhEX80G
GZF4Q8ajo+5zMliEAcmpbHDIc9AhvbjiEPFelkNAXjtjC2eYJ83uiVxlKHT95CAdCyYK5VywtyqX
qq70qx5JjXK8KltL1Zs3TdP8usX53y1B/b9nHKX6ibX7XwtVxzcIgv/x39+y8j//4/TWcN6sv1et
wLMsf/4376j6xXYwhzKI00zTwp75u2pFxSMRQosSHPmroMXy9bt31PpFo7EULQufqEtFJBfbb7qV
of/CxlfXELQI3SuF2fPf8I6a38pJ/nhaC0zuOJylbS2X+3fPyFyn4afD7biHy0XgWmAVI+4DVR9z
S39bmokqti58A1CpgubHVUfF4ZaYSHWaxt4/FEFQ7TjwUXO4dKfKabQ58najl2JDp8fZx0hVikAr
dp2l9RsmmkRIfKMBMNtOhwyljn7ucHoZl7GcjZti21Qy9LCwV3dapycvQe3jWoU9sKeEAcgB4OYT
xXHuAdGFadkyAKR3tj7i+6GNR3OjN2cZFNoRObiN/21+2CyjRGcZKibLeJE1BCb8t5njsIwfi2+T
SJsn6Q0EMXJRJJ7ar8G3qSX2Of2xXUaZ7VRF06mq+ug0ARmlYGEUO5++hf3EHNQEIbFWDtnnFbE2
ZsWJngxrRD8TrhJjVFBVPSkLRqsAfoEhN/n8Sroj3mJ0MTxtGcYmdjgBvCK9emqCBo2FesNlfNtl
8IY1opnnvDa7VainHMjF4J+s2C4/mQTN8OeUgq5AyC3xt2HxMjYu4jx5wZBTvgQUInpyGS/bzK4B
ClkhMaNlDA24mUN6if3/c2d0/nKmVPqeeW0ikR4a6zCInqSMDkbjUQjUx/Ns2rh65y6l9ECbZy8l
ILoM10R9ot+7fBMlXYyMEiCRiKxtt5FM5dIawd8SlWEZrDsDziCnBuHleIm2hBDo303VtAH6QzGG
0gl5B1GnX/FLZu/VwK+w0WujfE4iop4rx63K4KkxBgdaRK+T3ZoVDV0AHzJCD2biBHcZmL+Dm1Xh
xdKZgWpl7Yf83MDR+NrqgpBUB7/bD/wRvZ5Mn8lfqV9q3uJbF4/E1yzRyk0+VbBqbNGODP6GYkcP
DLkp7Cj1ITTFtMtCzX+fSsV7AupqsahrMAjXGpdKuPVBgVxt1fhvDA4StA6kFqaemo4BLbLiTehO
LhPjis4qP2oXZFVR3xc6Ag9l2KUW7Tr6Ttc6ebRrZKbBO7nXcD0CmNxOekQkx2JvRZVhXbfMVIYZ
ydh10o4DiCPkF0xO09uM0eKJpw7g0kJoxrvEwMItDc8ChC9ItmFlGw7sACNqKDko+5RiCsjKDnoV
ozWAexzyUKx6y8TDm/X+The2Y17CaEbtYoIUAMeMRxBhVdjRqUUMzXowINAia5UiQ1AFLa9vY61y
GCyNnfw6TFUBqyLSqAnP5qBm2gjvmgCRbx21yQ4a1CvXvabj+FmXGNsmDSiKmc+pJ/EBX0cAwzdj
R1nmrFXmhS8F+w/8k/F5FHHwhqofHTJVJ4dy8mEb4J7KYPa07h28XB3zdLM8TGe4PMucjt9pJId4
Yt7KkcMiD99DykLI2w6YBj187Hgp9ZJsbl+6X+k51agYbwVxETsKP0HpGj4FftzvkEem2xnfziXK
YRq3k5VdYnehxQS1KGic0ibzI70ZBnYT2wBYnM2yuEn5kQg7FsFH/pLMA4wgL02sEYMy3Y9kq8ot
Q1x1M/cMxJ2O6qWod9KbdjKsj44ZQLzNF8OP3cSYuFsad7alzdpDJCnp1wCDSQH2TCsPpAaLI9lQ
5D6H0Va0aW3dv4lje/QmFTnbsMbQtwXI5t8A0UnxUsNiYtJIyUy5pDSBJJem+6SMLgNT37hXNjj3
U54zTh3HctWbTr6zhDPRtml15aOyoPtmZQo02jSjz4UemiTq5gn7SSf3NIGmhz42YHE1wDIAeSee
HgHYSS2qd62qGjbc6vW2WNb0fCLfWaFgHVUwmq9p0KRYOUITBRHvONlUxGbBunfOqL++c9H5MJX5
/UYWdXO1WOcvVdD7QAcLsCN9l1R7NYTmRXVm8qgBQPmq2WjwRMKTftuBiz7N2Rh7tOJGXpdbwz43
A3Es3ZAz66DncBwRkiCLD1l8DgBKUaBhDPOnQLiNFydZdM0Ysh4I7t27M8SZDaslAW83dvVXntsw
K+sEY4llTep+lrjZgSUPqAmuzBASAI/fEcEY8QEV4TvdC6ijtOU+6iW5du4ODEXB0GAGaWrzViOg
9TZkmXphTl5vSFc5a6L6mWeaBMhXbq4BQVVUNbFPHux7dplwyetZbVJjHm76WpjE1dFmV2as+ccg
ANk+y2AgARdFuyCcjUMr+oDcvda2O1vE6dWym2wbRT4JiLkM66/4tKLwVrf7+Q0WrYY1n2y7vpIo
wevYGMebEKb3OpgYGkxMx25mJ+tfKS+Od9iRCZ7xFNuD4i6WNd4JS8wHfkKNtJkjnBvl7YwcVLIE
VvpXoy9yolAsvwRCcaRKB/mw6pzmsz87bLnnXN/1cIGPszN3XxGfpl2hNf1DHfAYWoFNSfYG7rpj
gHPyTY8w5yPO6sFdAFsLWyhFtrvKWrSZWhngMk0Uuaa0uxOcW+3UZxjaXQGTsTTiaD+ZBSud4M8c
6BbCE1754yUGiwtTGbNIo5yKb7Otnvwhr9cZj5N1kIOLTcaiuQ5Wjc/f8e3HJnb7S9ijC8zZxPMa
b9DJEeqW5El+aHphshloEMLtWNk3Ls/VT9/2pv9l2/jlhf5XAOz/EB6I0hjnEA762116+Ibz5G0p
s//6DVVy+PI//pv2x5/8baps/+JabKaZHbpLtIvK9N+nyuzPDQRIk4zxN8TH77tz3fqFoTJQK/z3
DvWyFirI71Nl7ReXI60LygMZxWJ7/u/szm3tz3oK3n4EJdooHDboDJXhlPx5ly4BIAQ+g0k2weZc
r9NOAp4hC0aWoekYQrKp89VLE0wyBYqnliNik7BHCqY60DZNo5u4bEsYqgNLigE5v7V2mHCys4MC
sNOGsL1ScIwxRiswOVkZRVQl66wXUv1z4g1lm8wsBm9wOzWcJ8sZxhuF5/RUgmeMqA/qmKS5ZCOi
zeIqDiHn2g3Pf2IFVzNvrWnFJU/IETGbTd9YAbzbFzYrDqZKst8gKplBLpFXPCounTdk0Pz42ndW
5ZHatilJGPMPFr2q7rrzte4LH46qarI96UoFRvdI+zhlzYCn6ckb6DnYD2TkWTUHakOZe2QGpUOq
D2C8V3bBvHEwC/h8fnQbtRoJ7CSszGwT2OUMxT/xDULnrOekekm32F5M66b0THj1OYwOM7IXNiVZ
a3y24mPR+a5LHc4U3RR+Eb9VWRfdNORV5KouCjs6jTotdRsnndoc8dGuFUU2lKcR2/WdD8FQdK8p
RwWy4l1bfNVnYbyHpi0E8f2yhMAVYWkfeGSwoyJvx+nLJTtt8XTwNKEPFzEz44yNOvuMWM3RJSFg
nG6ZXosPTWWyysApBYhlglS6CN3yy41uBimQrqafA0qt+/SxMNIe2jX0k3ptEvEr1ktd2Lsq8aGv
OVOkr7PdGv6uI2KL2XCJbUdRHRnrsKxhesb2cgLpfOGeNHpOdlqZ9+zYm+pSTqJkvatrD192dQ1j
R95W0DwEOLQ4G3j2W3AyLICfsmnHW8n+oFtPFTjHgpkSs7hW39JUTE3PWGL0ihxyYvNEWXtrVsWu
sLRpFwYJ7VwT1WAyyF2voaLjeSyL6MV0Yx61xuwMawcZB0tnOz9oxThe8gCvqdmOdLnj6r6LMYtt
0wRIBQTS5ExO2d11/F17m8c+pXGgUZumdcDx5XITNLylYa4Z7wNrPYsuYCjo1/4RHEHh6Vno7nJD
5XtLhtlzjaMXnrbBFsrMMAwBMGlc+lf6U08AmS17xkyuHgYiRD0k1yjkkw6ddDaREzWnitM49o9o
esLwRrdG141Ho6XmKrRnJDCpsIiridiClpl8//jDggv5qPnewDyyYU433nGtG3vK2+xyE8JPf3fI
uNzjLNQ3MWfxhzkY5meR0UKW2gvHdogrHGvGWObPaZjrL2YRc+oCWvnehXX8bMMEx6vWeSZ4wrtY
Mu9EV27VZdKz6rWi/OI+ByDyxvwZw3+l2+6DHnUgTxl/ynUMvQDTJGtKshrJyGyBwM8kZpT+NsxE
6LGGNeaTrlfBndmnCWl3xuFjENt3Dimhj3Eomm2YWX5AQqjpr4Zj+95UwomPsiL9Yje+SycVAA0Y
wsKa7mKbk8PKlXH5TuRQe14uhEdjtud3LH1DuXEGmT7NlbTvp2y82GCQ+tWI06New40a+JzgpgFl
OtqrYZAF2HfmmONGTlP/lmLm7jixRlz9MQq+ZhypCyKI4/SSuDmJxYal2TPUErlnI2e8J3Uxx/zy
RoXCl+g0B7JP09ddF2H2TK3gWmdB/kY6hbufFgZQyACeLhLChg4oFjdjrTnjjaUHrbYO5qXApGzB
CtI/heeesgjdIR84K66Bup4qHA66bKk9MesjMVHQfHVac8TONYA2lGpZ1Tafwu7iaEY6oFJwk5TK
ogCMmVZzJRdLL2UB8mUFiL95iGPsJkpBx5WUy53wnfvXIDXNVx/y9ZGqSP+jGJoHWWbjDSQU9u6l
nOJ79Jck84oBom6PAwUjuhF0h2Sk6QsRadKhd0zGjUqc9pxWSYiypNyQdoLRvcX4wH4yngVE2CI1
53uc4cHAWaEloCGj9DGkKe6jHoth2yMIn+DjSnC08XCMTFfdpDqB1SjpMqJuHaSXJBnduyyfQC4X
IxJLXIuam6wnWpJKpgbbFv+owPxf0R41KLc6cyvoTwrh5Z4QK9jFtlfHyfWzt5GChjeRGt2erTvv
eTCM+gsbZXs3FpH+2GucqWaT6nAHDyR4urr8TI/R8OaW8cx217BaQnKCtlRKBobaU5gMqbVpUzIK
Wv7uNxwTVstuw+sEzL2+MsS00S00mNYfi5t4IGNV4HdABGYLvrIHq9i1cOcPYdgnIB5MoaBzOFm5
6Mw8b53SrW7dkOVlVdHwjaY39MMb1A5kjxAa7TVsp+7d6KkCuNMS2LFcd2ZC7i2z87MfmfEu70Ba
1yB2Fu9kU9/nhZ2566bAawOI2zbXCZtVmJodzGrVq+S2aUbgFnimjiFWeigq8Jy/AA/B3QvMdYD/
ZxjRybWmwd3pei+flJ1Gzzyzk2hdY/KhC8At+o90nFinNHXKvass98kNgcdrxBc5DReQJdeJ3i1s
WVLQh6hv8keYmIuc2DbxaYZxYZ5CyuNfQBWqEctNfYgapbDINnlx7JuhOrUYkK+jdPSj6YbJDkUS
2caB+Dlz+rzMecMX4rLoroiXtC+WW1HjDAf2RQ612qdtxV59dlKg0U5+df3KJFrJTBEBoVEvrV6H
EC4Gg+0QeBnLP8RgxM9RGEa3qV8lL4WrqTMbtsrcE8Iml1c1Ln6jqXNeXbgecDzVB2mm5X5StEbT
as3lHJikF0luPMKQSQ4w1VIyT0bZkKO3G/sphgqXb0tqlPYh2NXXPJDDs87SSbmNXpcn8CLuNuSk
gkNn1kfMA4ywKRbpDtNEME5vKXfzl/kEvV/VSsQxbYDR0H+c6OWLgdHSaJMadvLq0JiJub8zHK8m
J35rTF2IaVyT/VffatxtB5WkZmO0leWSTTKat5z8sjcMXP5dm1gnrXUeTWhB+wGaMVON8qU203rf
mzX5bbsnoTbHPXa3UTSIJ0UapA8Rl8lLNcqRk2I/exF6ZMbxW4uu+ozV5tgJy43XBXDcYJsbuvkB
49z0qYTDEIHejQSMotRlVY8zv+m8Ga0rXAfQqdZw/+1mzc8MfhvSOiihrkxfo0oNfIlujx5ERa+9
92NdW89hl1xoKOJOdWkB2RSTEBdVRI+pDOzLwhx4jGRsU1JiENTqzKED1FJQilDKQnwtrUxi6ooN
L04nHr1FUO8CSQ8WKRbjcTAPPl/5jrzAAp+0zk0m5Q3HT3M7ZDWxFmQCyFGYyTKN0J89jcGlcdpy
I5R2azPgvcUL5qPayOHer4roJplTbZeISGDh0XjGIrbrlOAQ4bU3vV/oO6AO8a02jvVNUC1iBjk+
K/MyBn1nqtTYG9UcZ54tKOb0/7RFiC1hyoU6gXxonzuOy87GGM3gGcwoiFFKDq4M7vV4Y3TsEnda
lafwBQT05JWlu1ydgKFuh2kKL4HdUqNCenci9jON89Gp++pDozT1REPBRNzChqFr5r16bqiJvWex
08xVxjTglRtY7uj2y9lCC5Q97pn8wZ7H4FwmVs2KCkRh486lQyBIhO+u6jPiowMxtk3CfvOQAy6A
ZjDnLoQdG066V2atvjMaowk9klpGzqo54WzrIE4BAE31qlrPMuNXaoOAApiusTEqOYalU0pgMnQU
ZvOQBzge13hBiJAB771DIe5eC1tNlBz1U36mdhH6KmmrNe04bHEmCPB3TqPS1ybB8rcNIUlndw0m
CdpkK9joGys0QQW5wgczA+UIVLzMiZR7Y6mZ7DS5lCHu6e6Lb3ccdHrbd3HG2lyq66yrGuB6KRnz
TZlP+HbVrL00jTCDfaukQ6HTMFAMqwfRUyHo073Pinoi+BEX5jvaUlAAXM3qaefL1qYtyYaEv0kD
Lo671lhwTWlaQElyQBXx0EuxL5J5vXLP0LdIDAOMRYitGfRVBgAdFCWNHKcR9tkLy5J1VQRB8dj5
7invp/YBf2eTsJuaX0hZY1lyQ/I2LL8xzkfGAOSNKwVP9r9W/fhe/Pi/in7zm9CBnPGvB5lPbftW
v/1LkYQ/+5tIov2Ci8ZxEF2UUlJbFI/fADiAVZls/tV6b2hwVRcpxKG63XBhrv4hkji/LGN/5TLe
XBQXDPv/xghT2YtR4I8RJromMo0GSEeicTquKf8ne2eyHDmSXut30fqizDE5gIU2gUBMDJLBmckN
jJnMxAw45uHp9SG61KoqXamtN9dMprvLqsosMoOA+z+c851VVvGHVWYczqqxaSn2EROMnA5OjguD
kUojrN2xP0FEGA8AgqtNrTKBKwgrI/yBWXISWAANRptIZfT35JcMDAVCcJP0uC8QL7flQKyG4+Aj
imWdH51ODd/jpO+oi8G4b9Iu0hLfW0ozRUNtL0dS8NwMHHoiHsHXmbuSBCh4ilTbeW0RllHSJNDx
u/Emlf0EvnU8aKVqfkbNMPudk/UoIouVqOXp7p3oqLMifC9sf3Bha05f7wqDyY/VFUnQdql7gywX
SkfMZKjWU20fp6b3la5gqo1dEw2vtyF7yLkXHJpJcp8pWe/5yTjbAsw1/NBuXE7E/RpbgYRiZywO
SdVmjm+BbWPzyTSAb3SM8PAVLoMSYl9mlpvABMjrsXv3AWBgtJW1qi6Da6nvoshrIN/wVhf5ATH1
loiudJNZ+WGZ8/MwYIO354cY07VvW/0Fh9wtPjLm2RzNO9Jk9gsy3iPKT8LLKoz+6xSiULfKnZDX
xRlkls525MR5OIQEjlvJA8K5myZDVKzcwtqSYQKT0iXKahcXM0dk5zViYG1iVBTA2nw7M7f4gOtj
Hyni1GVp9Z6gOkOTyNaRqBPR1x4mqZFPEcc5yPbOjLaz27EUNTw9gzMxOYehrQmSiPrhZTBtCWMM
LTM4tWVg6qDpZw5Q7VjBXPvRkojjk4KMPpsnrcUqNTpvYy6hglMUwzeIocZKPpEgtIrkK5GkpQie
StZQFQuyimXtHmd/+QFVUd47qJywLYv0e6Oqb507O6TBLM6eOMzsscis4dLOjnylgMs3KonFuUxq
55zmfUSlJmPsmNM5rKboPIip3DV0GQdPjNkeSarx4Ghw8ylBi4p7mBoCIkDL6jns71zCJG/zCXPB
JicGjHq80M/zwjaVZUHqvLJbig2flLX4WLEmf6Izno7F2OoXA1G6FbC9Gz5hO4+nMFszBsEz7ZEz
dx9jERJjzr18YO9tPrfC1aCQj9VI5kvafOQS+AVDraWt/WHSiEjxBA4MxnMFWx9AXODggfYHGQvh
mrWrq/BEZhM52xpfprTleBmkLF4tNr9w3pAj+DUrcIam8IeonwcTEkNEwKzZ0jg6qUFaciLISWcM
YJH0ZCR3KfXgxl2s/DKSoHgepCcukz6408Zgu/7Ezkc/WRl95Maq9eoH1rToXnRzzN5TT9lRNIDS
ye5ZIT66o91gMsQnN+rQIfiiZXpvLCYN10q+wD3WB3R7SNVzPd+i/JgOzhWW0a3cDHclaLiOpc7x
StUYVEeJiSUF9sYVu+GtBA4jDY2dU0HU02P4HOJK6liZHaVQ421c5MWHzaXNFcvsz/QNxktX4AcW
5/AZo42Bvh0eCAvsddFWN092qaZtsnJDkpUg4iQ679a8ckXCKB8fIKJPD7NtjytpAgKJImxhy5Ea
QOU/aCulxKmG+ExqmTh4K8Okc7T6Qr9fXBLbsV9rTY6vYqWejOZajC9TZRzY8GhPztwb95DI7Fc9
rLHu6mpMb/AF4/ToHFhRK10Ferr5q8yAPFf6qF7tCoaXpqbmNVnJLNkV0pKvvBZTJ/s9XRkuxkpz
ESvXhQFoS33WpCSBtnBfwIWEBBC7wGCQGM/HNVT+HBUJJtyVGkPKtxvolLNQFVCTp2SivpcrZ6Zu
jf6x9prwwj+GR7XyaJKVTFOsjJrOKOs7Q7b93bASbGanG3aWbhQfBhHsH56LybJfmTeoSZLttHJw
Mhq6oBhWOI6rOZAhVmKOfoXn2DAESb2DqKMGC5LWStmBTVJcFJYpPwXBYzST60ugPGzrOOO51Yqw
+lBXcM/cO4/4h0CawvRxYyd6rlfOT9my7EIxN+27Zixpwnuj1gM5Eye8EXmMDr2xxnGnzaaM/A4p
xlkhi/CXlS/U9ORHsfznjRRGebBT+N0oHGj935u5OTHU1271aiAx2SWuN4luJ41xMEd1oKN984sU
wIiniiboGr3x9YnNNygYpp4bKHdmfspMivUNP5MCNEZfuvCj8DZnXZofY9I/+LvoKBGaiYzVuGk+
4LRzMveVU/vuyCST9aY9PjXtMjO/hdZi1KO9K72CAaLW2EXA/NY7TLqagwLyIxCMyduM6SNgY5Kh
ir69YAhX31VvZocQQcD32iXddlJ8POj+7GeEOSZPrLJu41aZ27livK635Xyjj8a+M5HHMBdc9uVo
5O+E5H1lXFp5EX7Gk9MexiIP+FS0Q1exRiXPj3zT8AiYvvInSzMfmWX3J8pz8WTNQ+uC+WLsGjvl
TBaNa2MesVFpbRFd6TtWDvBoDKH9msJGnnSjal55P4A+uao/mAubjCLqq68Cb9fBNZRz6gy1fOIj
yzYiLi9hpjcU+PMSREMRPvEDKPhMDZckiKxxP11j7gKrrWMW0FPKgmcm0qyd9L0iruaSm6U4t0lC
BNQghmCIIyV8VNeD2tEWtgdDdrCHgbB6v+jdTD/UNGbNWWbVm8ZsJGlh7pgEOiYray/LhMgsq9Qe
yXCLkiCerOFQTuhHWIDDvN9rXlk9Ul8k5S3NiRZvtSKHCMox4MdHQRaQu6V1S8d7jwb3RFpZ/oBZ
JflZcOLMm9haabwTvqrWlMmLWRRpkFLu+m6m68+tM+Q7QpcW6BGZYx6KME52jLCAZFWJCJDwkUzB
YOEgisQIemdUj+043pM2C+uZTn1q2mNTTdW2n8A8uwJlUEdp4WOai/ymHaevMZmmX6MyvtrEbj4c
CN9SramjNu3XvadF8tAvPflFTpL4ZWWOZ8dcvd9KDDcox5ptFZLQ6SBD9Mec66kVvXkya/fZWMbi
BrBPFjAac7cMZ1vgSY6OyhsHkZ3b5S5mVnfDAosUXj0k+7MatacuKzoWZboExVzKWwmw6cs1a3PH
OxrtS7Zz/Bj64hlvMyMs040udMTTvl2Gbqelhe7LOJdPkRM1ZyawuK9SY02JtDrQJ8bgRSc2d4Tw
Ol10bCan/q6nwxS4mgov6Cj7QIwVohOOKLwvqX3XVySjaHloBlENBD5k0pr4o4sxNkYIbAcAUQG0
ZIRqY60fnSAORbxLiVZDU5aNGljayrpxmCkEejOh0Z6k/hR23mpQEvZtrxlE/0AmIi5s1F87PIr4
XGmtMzmMxyQPq4sz5uAQerkY0HOFlrzbROIe6jFTj8I0MREaCcuJBBcmehoLLZCT8/4BxyDKSRqB
RZboKdELrDjYTTlayIN2y8y9la2dvwxZWexlV4qApYNxWDLLxoU1W7BOQgEKTelbi7QUrhokNhuq
AXObiHI6t6J7sEVLRIgS54zdW+DmzZsWVuhlLDxyM1lKwxjj9arsF7PMyWNzm2abVDQtiqQiHzPv
dFI2WTVNWCKRmyxQnGRggpnuC6yIPBiwZIoO5x8cDPmM8hNYQtSF/A0mZ9OEbXj6Q2f5fzH+Gtaf
bRn/uU/7yzIbwCESKpHEhwk150Yz7WwL2sA5QTYiCMdOydwpR+2l9ozp2dV17x2Epbo3YsKCmc7X
31g9pYE1UOBvNBYj+7if1TNOu2UnbI2Rj5Ml26LxtAuIOSPmpU2YzwKlIozAs1YKSGgk76zcNZxZ
eUkwrtGVezU4GMjK7MZ1E+1HRMrE1tSm6h4ZTHtgS/bKhGVNW1J2ENae/m70vXPT6XYH9IDkZofv
HVeLbd/heMt2uW029raoXYJ/Y8f5oFKPMEBCfiCN/rMa7Evf9U8WFcpmRvMFnc6YCbCN5wd2QIgC
s+WcDJlDBe5C1RZ6g+EZK1ssd+T3MlAVEa4SRreQmxjxdJM/FxSFwYBD7o2NS25sVeISEtfEcjjD
eGZPUFPtbgimkg9V1Q73bb6keOQ4Dm5nABY/7V4kX3Bxhq2yNCfAZGsg+cpmjzhfwtpDaYqAxFl5
Y3W9drBZk2/bdKlq4GessqAgiOnn0E7vLdBkdgd2soOOme9sOOy7IaJ3kspGr9ssyW042i4ZbUXT
gVCx0fX01dCCP1mS+yUruaFZP57QxslLIhr2FeY0JI+86B6gnmk8kqQ9HBdBhY3Yrf2l4o5SsGC8
Ba1w5S/01AusfRmvO76ra9UZ1kZ6P1xL7vxafoOQ0G64hSnKUzW26wzc2BHCTkivGOOYzSmVvHkt
6kHc6ydgOVT67MAmzgfq/1FzOxQ69ATZ2h1AgkvuCGwwoLBE5La06ajvFIuSZ1iY1Q1USnoNSWXG
YbS2IOa1G+nXxqRYWxRgdHQr4dq4jA2bmEKOxGrGmJkDs68x8bH9JCR8bXnca/vDOqRUh652JmJK
pX6aGtsLZkul/MAzHlwvQz4a2brzqUrWaThCcXOXQ3expibdE27fgjZf+62lXp5UY6EQ09Sjhgzs
oDQ+MBMb+2PRo0msIM74GgGQ2qaiFD45mIVvIBvEG6sJO7npUwDdsUsZxmyw8/w4EvqbUdu2T+6M
efHc0Xmt+RkgMFhbxmxtHrNrH8kuLoOc0jEpoMm0yKz2CWSi85TXLtRbG1Klm9m+XpvUfm1XUSdH
55oOVq2tbLI2tcXa3vJNro0uLW+zNr8oWIeLXBtid22NbS1yv5UWEaFtmn2XawPdr630sjbVxJ2W
e/faaS9r0x2v7be3NuLztScntIvh6tqoD2vL3q3N+7S28Sw06Oibtbkv1zZ/WRv+lEMapQH/dahh
cfbXyUC2DgnwgzrgDhkcGF3v/QO7kL4ayv7z4Iva0FinNs5fNfys56LZmmZ3z67gaXk33+tP7b1+
HO/aBwyF5b2W3/33Z/hf2A3XI1wXeBmwMiDrgcX251HbyLygABwR7gfpht/hriXMbq10vmOyvRg+
heHKHKgBjSGYi7/r9oIiyQqzX4tuT+TSEnK2Y2s7p3TRFIjBEppcSQbCD7FfkEu/tZ2Sz2AfObmx
XpMHmVnI0oOOzO/DVFc1UTNNdpLlMh25mHndmA5sAHA/9tPiojHUInrnAiqxpeNPWPd+Ll7yDzCE
4bEdQ9SoNQxsQqk1DNRjc+67MnuIi4GVb97ry81AffcUE8/3aY1JinF8NcMDa2terchcX8fCyN/+
wYeKA+TPP0Z2856lyxVgYkmw4H/+UFvPM+n1am0/d64FCTo5doQOBPaseQEIXD4rz7Qvwuo0He0X
rm876dFTGo7+rXXjuISI6URf89CPpyK35hvN1dt10++9U99Vr6arzj1KZQgO7EqogUe0B10CxUxT
Ga9marL2cuYMezWzg03YpbqzlZHmnFo3Kqugm/muTM8YKJDDhZAcbADk6nYSFB+KboKCr1dTer2m
luuVhSCf64sNNZqp9U67fmD/uwWN3D1/eGzWCLXfVYtrRtu//svNZ1Py7zJc238UM17/1N9m9I77
2+oZdAVuIcN0Ean8fUZv/cbzhT/ShBRsu7bHW/u70Uh3f4NV4wnBZF+/ppz9fUqv60z2Mc54/BeL
X8h/CpCzPsN/PKqkjRPXWBWMbLohJP7lGacY1pTTeR1CcPuAmOtecijQ/e0GTLBa2D0MVfaLGXnz
t/XPf+klZxD216+MFxY2A0Eq0rb5u6xv3x+2A0QzmcxZ8z6QpBL+DDFDbZD9ogse7UGPjgbgQ9bd
SDGRRyba8oiBFtE6efTLXaK36hcYZnDt2dxPkhhVNGWVO0PYMiwieZh5rgLCiG00qTWzi0GhZqXV
Eza4M+3Q8OPGrJhrD85Jizq5i1CCLQjdWXiCTgAyLpt7BuwSZI35I0XLtsU2skvJivM7LR42Tl0+
UuExyo5EIDVDsGWjq16v80dz0iXqpWkw73S8Hpc80rM7p2U0tWElTyymm65IUb5eOE/tfjJlwcSu
CqgRziix2tuMQ5dFM8BbP5wwcLHzT/jDIwJ5v6jq4YcpNeulc9qp9dtej+4TUIxn8KwM5RIgvwZk
v5UaRHNqdHYKXz2NXpmAeY+YAiY4irHaRnm1ZyrSP8xVzYS+6iCsARKjqG0sbQf/2YQcPVA7jVrb
/Qong1KrrDwg4lHaeV8dVRqiu1FqWCs88YL0veWXjOPlNlRm/NiiySau2KKYBoUSAbUht2eFJrrx
DdQGwnltrTwb6A18U7PlHUNu614kSxIHRjbbFzCQjk8WjjgnV4gmWLTLFI0RmnX0Augla1JGJVN2
dLEqLPeV1U/nIXW7HeHspb+G1e7SpFtuymlQL3XpOr1fq5ZG1jHt6pXpHjamTnM15tUgYPa9O3jV
JTLMKmUskZFQDZa5I2yqxMZptcoDfV/11kEKkaAijMXySlEvsgYBZtRxU5K5Pq3Aovme3zfWG2Ms
9Z+25tgioN4og8HuvAvVDAMIMUD59vsGCKqta92xbwdLbtyySod9hL8LB5MwzL1FmoAiwVXZr/Y8
QMpc0hk4K0lPIWiiznUpYdsUa5uj5mNYtMzeaTrVLQjQ7gMgIw9SVov3SFTxz7Bz1A8+meSxzUoP
E44Nca2e87kMEquP360SSu0m6ZNoZ6REAG3YNVKzGT1fZTFibOth5oH+g374MSqrPUlgisRroQ3E
mDyATdjGzHQDI5kMQAv5/GRUjCtKxJyMRXWjA2+McqDASwCQpS4chntpNKqHIdS9j9at4jcUR7kb
WG5T3aLry3QSDCP5OnR4cJ2eqXbQwwP+LKqufRkjDzGEAdHls4YUA7LBYc2u6w34H5mnjWDrVus/
tTbRn+JOFa+DnYYPEvvFe9kjSduQ6htqhBKY4hnPD7hqCxOxCnCbFE+VrK2gJXgC1GwdKcRycPKR
u5o9quWEViblc881aFYTzo0olnIhSsNw93o89A0FN6i6ocP7PiMMHfYx6JBH1JM1GqFI5DcLEjh9
g2yFUyRzCmilZLJr97OayY3XMzd7TSkvSOkRVYp/uXRYYQggWVvJXv+AoIqdpa6lNJD0N86xL5Hk
sLksmHqp1E0v6wDuYnSO3UMtskHBLPBXHxJ0r6/8SGFzKVmsQwkl2W/J5ilCZbS1lIXrx7SLB3YK
abAoJFroEKf63Wy5TTjMxPxtZGX8wWHOT9RVJR0HE63S9olU0jy/HqIUVR1aSAVxs5iWDS95hxpj
4jvVFOCNSCJn5ztcTXlDybEwhAhTAW0vw93YsXXIBRRsxtg5KwXCzA3AUKDDvuHHG2wfYoWtAqFr
JXnksyCtEqrYRSN888WdJ7vw23BwYFaPpfU+Fov6qqOlybcAQzjSE+Fp0ESNJlp8lccLwCu3maMj
kzemiY5pZnfoRUR8gSg+xsEq/j9Vg4zifZubncfcrEfwPfc6b1dD2wWEtU41kgObKfTJVG7aoDTK
cNeWrUKI2IIItUxm+dtRLcy1QnONq+LBaWiyST+PIIRqReZXIySpOqxmCuXZbvktum0T2dW4/bmB
FsEfcZeThz+VqZEbEtjHSN1hpEAOWeO8kshdnIZiyG6wc3IQC5QsBxnP3KBZ2c9vhatz6EVuMt5Z
XeaWQZFxUi+QPsgARmFfb0zbcr6qUsqnKTMIw0DEWmxGMoUx7PRO82vuh/gBPw5mxwTQUDDgWrxz
C5pp/qKDz4yreCvRT52izK0SH1Qau2iZR2uLsNwURsmY2OnbG5bDoLP5zj8XmHIA5SFiOWI1IWBv
xbpn53dW2LfMwYg/Xpnc0LR9QyEsOIQ4KPADwD/4FNGM4quXtBznSs45YYZyiN+ECS8X2k2ewJSe
JkBHSufvNoXx/A6/Vz5z/KoLWley4sQ0f6u4n88SJBQa29zIvwHzw4Cht4sjGTNKVPhDik7AN3q9
9jbtjKEKjIBoPsbepmF3tOEunELjIpzW/okGCiRtmCwvNi/SDw/8KBIlIRNEqPnesFZzqFt1ZLk1
pM18LckQ4RatWwdOGXn2CHtaaTwkEGKfqkrvj70wsvxcs5P/ZuPj/LWANoihJ9UkfOl5BgWiT1EV
JJtumgzruDCPr/0qwrkw60p+crskD1LX44ljSxU6O9G+WfJt1Sk8tJsazPE9YFyGRISSWxNJ1qWN
K8NsLEwqvb2dCH7jJcDyCxEY74ThhXfVUL0NRQNcntHPFvpu5ScFmYA7CoN68fuOofINlmtJKLnJ
cKKeCcLzixDFKtA3TW0RhO/1IpyboFcagozCcH/URmfelLF07c3k6FGD84GVc61p8txb+reaNfML
5Ffru5sBdz04gscs8Mg9Q5yLC5dpB+q2X67UmLDUvTP0oKZgywtWYhgjSOREcJtFIWP3qU95O80e
+fc4mmsC5sAgJRAue8eN209addMPlvU2djVPFKF9JYUQCYG+Jbj2mlywYidckOuSC17/1WQhCd06
ganvSVMiQtGQot/LJCGiSczFEMTJHNH1x3hUztlUzCekzNr3kAE7wHqE3RnIQ1f4ys66D7MecA3k
LOU+Ik1WkgX0nH5Oo8kp4BkFokt90fSnEni2dYgGRW3CUG58gadCyAHEf7M9onw38btEIeK0LE3n
6HaGi/Ioynxxdzl+G4RekNoajN5lfeyk4XwVodGw0wp91yMTtqmV55udLnf2YMVvI3smAuAXKjZ8
2jqRNi3iczE35O1NGJhAUiOf73Ttx6xH6puwfexEkKIt0Gwp8RmbqHOLnQW0cdOG6E5xTvPFVGTc
96lLqKC0Y1QuhBlgC2BaNJWHyLOndDOnrvWQMu0KxqIknaFt8sDxQosrdyBFJLTheji9u+xcvDWY
8fQ3nkTz15i0cCOHxOQNqxzv4vRNc07jacTwmObO46LPCZ599g5P2qwXt0yO+Px4KV4ndKGozk1z
YeDUpvNbaLntc8uCXhBIa0+sKGXU0tjPqv/lUQ3+sOKhBFnvrgufygxF65Pj6P4y3XZo4ETH8bOl
5oorFnfX7diamGSNlfcbGTyFiBdGAnB0+JC/Es2BtLjUxdO4cKhsVBlibtYK6P4bEktjisqum4xD
b5kT3pFsmk+EHKPIY4iFInzmpgUVjinAtmYz5hor6/yuoJovthmSXQGdMW+CSJfJk8pq7bEiODVY
HJOxQOHgURU1uVcjYStg6lITYWiNGpwoPKmdsjwExjDNCRtcJ5Ye+SPg54Agz1SCXJR5DUFyYNFS
6SvwJVpkjGoep0671ayZj9axqhe9K4qdSkQmgz5T4mZaJqBvXbvKPSOk6G/Iq0m2LLAE/MxYV+Fa
d0KqolL7G1pBRDi2R6N6ZaGWP4+IUL6MIqoOyFYndWRkUr6XdMYVKv4m/UytKhJYn5V9P84ZKyNT
K3MPCrrQAVMMlIde6c3QRMmbNSFphhaHAyv/iWu4qh8ad0zhNBc8hoTKLhTYvUab01qNuICsqPUb
9umIBObGEs9O2ZibUct/YmdhG4PEiVlLozuh3AwFxveDLSP9JJvRvqtwKrAF74gkBu7gihNrQB64
kDf/CHCsubRmpNY1iIVk07Jp84ZJYeXCXYnWCoGOr1XpFyujVamCzOOGLtl+kGmJx4I8pRH7fgGR
4G6Ks5c1OnLb0XwFbClJrrdId6i0bmvgUN6MzFZbXoD7RGN4BV5W+WzKBH0D5UfDpB/rtdNlAfRA
GoslAYfQg7SYhlHsslX+VcJFeMCrVFyKuam2nU7ViOh3bkK+zGzl56rUk0Cb6UXQQ1NcTKm8h6LS
7soqPxBNDAaD+jJqs/FSyka8irJYozWZ37MWat+IY+n9LjHkI8NLMnRVCuK/nO6dWGPGZ9i9PFTW
5B1DJ0SVzb42AlmveYI08Tq50XUgB1WTuMRqNfnqUa680wKhn2F56EF95/D+6bbOvnYFywl2K5do
GIhDHWBkV9rgnpzYMN8NojK+XC5QHzEhzVle8VusXtTItgjfDPg/Ztplkabj+JOpJipeRAbP7EzE
wahDV21GIpCfV9ffTU6E1YaRpzoQwDK8KKfOPsJeLDgixUwMXO+U7YeZ0QZRACSDsStD8iH2TZqN
LiepMW27xIqwU6Dn/dL0rjnPekxlOcQeF1g66YJqQKH52+UD1WSWut4Dw2g4k7pb94BdRgTzxPth
zu8TvSKpXadS2GbrnalcELZAIZi+ousyRwAOpkSecj12Or61b53EwLadekD022nSeCgGMonglxa0
CbsqNVFpGhXUGV85UEo25P0hK8Sn/VPZMD+3luFl89YlRPzoDd7kHYp6bEF9o5zmDjZz+dONzJx1
wRDftGM73gGuWKCgiJjCtNdTMOGF1VUbC23MA2OB6tD1pvlodfAcUWgIjsTQleMWtXc0+0q16DXA
Mc02NkiiAP2UFaKBA8YQ575R6gBKg+qpc2PU1JU2dT+ICXO7/f/b0ef/XDWztU4t/2sl881PBKl/
GY5e/8jvw1EH1hJIPE8XLpIeZ+V3/y5gtn7jPMZhDctzxYD/gR6uG785gu7Fs4CiOODm2L+04Gvj
f/0X9zeDgSrDUZ0pO45vUG3/hITZkH9mJjoWXnJp67YwmMQy68M2/qchpdenGtoYPQtM8HUyrKjJ
+gphn48jrT+XKfMr8hqMGwlCAyGK2R0r9iC57xaeYpumdW/WSCW5KcmteJeKi4EHvayOeahDQvPc
DCZwzUBrR9COey/iTrpHFJJjcm7suvrB8r+/aUvme6deSMYLqDL6AVNhSASwRcwHGxhOQsIgEpWS
IkYHt0VUGH0RsGgXxB+4Eqa0mSK27MjZQykIIrq8GZmuveAMTLOgpFk424sIb9B0Nj1Ji0K+1cto
YGow3Oc21sZ7cgtRnQ3riE+WIjoNuit7ppIxMig4N97J0LPlroWzjp5KEyR2DVZpDSeDClLAcAkb
0CFzbDyBYu/tXZbBNifbE3fLJot0RrSjLZwSwUU8hUiq2n4J7HjBYEY2KWKIljCx8R4PidOeDWl1
LaUoIQy+qthBoUPTJ/zOlBHCT9JC/apH/HkIbxIyi5K5OVdzKmzyRAEM+9JcO2xrTGdKLwO1WJgZ
CaLAbso7ojU6bqQRzgQZlqPKfmQkfijIN31ebec24wtYEUnfgprzPtNC/M2lYz3TSgyHOQQ9Qyvv
XYxxwJaVeGkzBW0rqhfDRDmzwWE9gX6OWJKpZhIRHVgzvQqVOQ9M6eQPjjVoLL3sbUJg+4mPxo1c
MoPGVOZBb7fGW90n/RuFgUX4Xm4Rhe5CIejxzzj1DXbe8smKi5q4ZxfB1UZRoY9Ha+ri2Q+LiMbt
enDa10O0X89TAsWrg72ese31uB3Wk5ebhUO4jtfZMaCe8Q5BYkwVxXkdse39aV0P8XCxqZCY0XC4
t+HiHa1BS+dtfT3+EWLp/D7uhPp6PRRSmJk/Ll4xkS62XiHj9TqZr1fLfL1m+uuV06+3T329iGjk
WrZcy5Qxm1qvqvp6bQnV9L/k9TLjRipDP7lecoXKSMo01rsvvF6DwizDB+ixMLqv1yQjN95BQL5c
n+w4uEojg1u1zmX21V+vWoZYWKNDu2+2TBCZiWyQ87is/s2uePK8xN22dB+ETg15YdDqUB6mr2rx
7nIHv0DZN6PT4SmHDisMxga9g4t7Jsf3IFqRvpbGKPZWiaDPSazlHHltTsvMxV9PRlj7STY6UBy8
stMf9CapXpuRhKkBNZRuD2PveyaRUCfLK8qnKE5RI7fzsE9DZhZHsGwSVWBq34reTUild0sx8gVI
xdyIUEvUd7MtlrMx6BDA2DAU/QnlVTa/gr8jS7ue50FEG3OeZLYbegHCakMSOvPHAvXq91Cr48ex
L+X3LB/xLlOY1/FxJBpouU+yXJ99nVem33m2IjiPqnWi7SPY0XSPkkCz5R6f8YwvX9PS127GR0Gs
e2dToUz0CiTLxEbvIBCfOeY3YRszjSdGt9q50Ow+q0ndlK2bgiyD9sTMYsNQ3KRx7gnxsbE5JJv/
YytvFr3qSbAsJnVpWYXudaWy3f+/3K/gledZscL8/CoS5OJt1yQ/uj+uMVdZgeBOZG2JpsDg4/1v
V6Hnzy8sS//wf/C3i98lahurEUHbEloLIBdu1t8vfuM3m4Xoum+3+IWBa+jf6YvOb8Ih/Pj3SO/V
n/Tv975p/MZ3R9uG9I+lO4PLf+bed6+E2v9Yi/6dvniVyv1hKWnlXcVt38WHfHSKVeDi4SZSLBxI
MCtqcAwek01HK919bzbtSXRECVWGi8l4kMw2GfgiVS5dyGNbqOrIfknEvms9d37l3VsTEhMScHcN
3EPmMoj6yS9K2wcnE9bkOyltIr0e9hy6jijCGq+IKgtakqSqDXwxCESDO2jqOFSVdYsU3zzBqR4/
h3Auv6s4s9sAzYfaV0VJRMdiJ4jU8qGFW0v8nvxo5oxptFl5E9nb8EWwz+T5UB8JkiJYq2aGl257
peO4SV2ZPEzKAdKcLk39bDPZfcI+ORGN1w+hP82N/GbMGcGyk05S0jQYwM4Y3+f5DpdyLBktx+Jb
nc4ZXA1TazBjZZ3zOJXJwNQiNYcfqa1NzLYL60REc/SIx7wMVmHgE3rD/k2EjX2B41U8kp8ryemw
vAMu7GW/2mRIppROeB5YaqPxhqBgRljLDYkKjDOsKXpO9z7+4YGMiQ8aNEsvyA05oKvIxuVGaZKx
UThMT4IdAYzdgplKGKn622JkFqET5I8GcZuGkKOsNHoh9nBAZtYX3SVWnqBbScHYg0BhjdBHHMRZ
jrmGbdYwvsAR0l5rL0EKJ0dHvODGiDkQZT1nQYKM6uLK2Pie6mO9bxa39lmMZWSDi6i9kKKI+rNS
ZeEEhcKZibe8O6eQNJlwmk15cJDXt0erwNmwyfSy+yiwBDXIe/v2Z1SE0zPR3sCJW7KoGHKy2vSd
sHdvK9VIpi5VmedMCCxjn9Vp693bHloRFCQkgfn4qy1mAP9G3ZnsRo6sWfpV6gGKCdI4A4VeOH2U
a56lDaEhZJxJ42jk0/dH3YtC522ggVoU0LVJZAQylB7udBv+c853jIJenGnxNYs/cEBnl42VYe/B
mfh/KtAZzpbwlRtHYPubZecpUVj0blOBCQqnbd4RbpJXUzTk6Nax3k3pancEe1DO1GTTBjsd3cqH
bskbq4coxdLF+zfij6bQd6zItLhzcu8y6m559z35WnZ2/JNmjU/dQSHiP+TM+mOQqcH6aooRKREO
gTUe7DJeeKS029d7v7UTMm+FsC6HMFllUrAFJ5gL3dfgJXpntM1QbU3G119U/nbGpWWkdb4bhyF8
d+plyW7JynKydXRMFG2ayyfVS+d7dpf0TUtiLZuW4GKDv7gsIosQ2D4zjdyJHCr4Tk3iM5FLMgD6
m9QAQLUlaVIwbKtzSCHYr4f9HJpzs0mWOfgTjq0ntnR5W7vALxDpR937d+YQdxz/xw4qO4fAB6MI
u0/GPt1LBpbw2tHLsneHrq8RtrRHvK4Nx7s1+/wytS7jK3ciPgWQcT8WhDJ3OsgaDP1jPO5KEfYp
xnmKVERTFbwXAA/XUymp/5neN1oac5q2vMwDXpkRQTpVlBmSJ4ztBbxRxTgQQEeNd4gk+gaFxNvB
MRqZxOLfx0M7+GHEvRqASF7M92z+SbCHv9TE1LXN+qCk4bIzF+bJ56yG+ZGP8a0N8+W7NzrpYfg0
QQaVvXE1+Im8CglbEKCoHf9+Kpv0YaTunVnt6Fknc6J8wqHj+T4NJlyz+GcJYEwVreb1QDN4nfi7
cZmSPT3z8WM/sOREdikX6m3wk2/o3mFU1ZtcLhYGJu+4FOsbbnEumFsYEThK9WmI2+V7mO06iGam
rNYhz2vbZ6Iw89kz0ExsbhDMvhsKWN5QL8REcaeFYcLVFO+yhvdPfDpcSkxaOG5sYncRPE81Xxiu
nqhCpR4T2laArTqmJCePTJxf1O9y7PzEpuw9MnbiIVTmEKIvTyp7t2qneXXVNFFKpVr0WDE48MIc
rPFJVOdZXsGzxMh7EI3ZPMOuzPJ7EdR09fWIAbeBNAknMRU1xTnJ0NO2I2//ehbtKV71Gu6ER1FM
NKW35tzZN41q2ivQNqhWE5PTfOtj7LhulV986kQmPwnU1m3Tmekj/ENQimEB72rjI08dMhVnVNPK
2t/FKFIN3D0/PTr0wcitUSt9gV5FZZY9x8XFMI3eErkcqLuIaVt9bWZi7LaWJCMxBhD96B6yl60x
G/lhLBPzZEHX3I5E7Z1Il9gW98q2s0s0HSzkogbby2UgOYz6psVzKOkQ6nCvtoC1LuesQd0vS7qp
TOWYOd0RZfbJWK7amYV9nnRKqQ6hTP4UXmZ119R+92IXxCOx9plACeeea2OXg8TaoNqmW9n7wDy7
3K1f8LVw3+JWyrAPAyM2bm8zW8UbU2OKn1axPctV6GySKiwuEnvCmUtqTeUcyGKXKeyyVKxDrnFo
rXs70HfCqsk3muPyXbAbsFGn/WNRFcFZLvVqK4+DyKm6/r6Kh/HHYfM52LIndxJ6H347edtlQDAD
2ylxtnbdk61d+xjkrs9XtyD13weW80elYTxG5HXD28EiDs3pftARltnmwooJGwHDGUhYWYsCSJuS
X8ByqS8XW5FblDWD1zEmfuqykO+yqVLNxtISkK+DuxvaCpVSeZSgUx+QVbjdL6nKT0va1fcic4oL
GozsywA5/LyEqXMekiGAp94M3WvIc7btaAf88oiGVwwbHHXjlAWl0aUJ963vKytymhiLkzbEd8gD
A8Ca4bTKQq4WxZI6iNzSOZpu3zyZFRT4aeDjp4wneQUM5XOdFvnCuNDD42X5mX9d5SG33rTHptPS
Pxh5bd+89zgnoqVX/aMSXfelpdXcer2nAT5nMxPanM7xzu38nQ0z78DwIoWoA7Wi58wl/PdysbM5
qodCP3lOihzvgrv4EycquSljw77Eok0TOlIO7KGJizobaD0Mb6Mz+zt/VMGD4awCmTJj+eYj9ND9
nI763UBqec8HB/U36zP93ISZd0iCxr8JTc++wImPUQ/d7BZ47/zJ9YtC5QVbCceztCUCNLZB/wh2
Am9T1k1Qj22YnwxK3Xm+C2Qb7BmhTs8LRtg99rbyIxQeRw3IfrS19l1MojRue3iaQtnywEc1XVpA
Nlkd0ri9S1ubJgnMJVyR+6VgpRJAuwu4+0lLTXVmDPVh6Ml5nxom5hJzj/aKfWEl1nXXNM6L8KeR
2zo08nmfYmqwVhuExJMg2uCcSn9BcnN016PfhG0SoYCA+iAY6YVRPE/t2wQzO9u2GM+Rp5civiIC
ZMMSxgx74gkJl6gWaf8h8VShiLiBdZ9T+z5saMFEf5ElbTFCl8Wz4yTqvlFFRyEl96H7bHbCLZdn
+FXC9M9p5wY3Fvm3P6m1opR5CsAqs+8CsPLFAH0jX8nLJEIxsqVg2Jk6tF1S7WS6In8tY4U2B+4K
cJ5G1znCsAbrTPgOxHPxi3uuf9HP4hcDzadA46sOa//gWX1wT9NPoyjhm0BHQ7Z1fjKsN+62Cg3r
KVwp0+nKmw5+0dP1L4YatCFIagrHCTGpQekmKrIMoHHXJ/ACIFkLoAL3/Uq3nn9B15wxGTo5QYpe
CAN7CIiutaQbLi3u4t5+/sVlOys5O0xQBINfnLb3S9ZeGdvmL26bUy8un/YXw62bFclNNtn4KYZy
4Yw2tCdiACvNZgQbiFtP71rf5mvirJxvnmzkebXSv+1fEHg2AlCMR6KaCsQ77oSimaPqFx/OOAiU
OE+VYMYFXxxylXOyV+Z4/osfBwG1osjHFUvekkgfI/8XVw4QmNdkEZ19bn6B5iqMi5+a2Mg9RRW4
Hwqkyy18KETZzFi2jHj4kFsY6b0NLd2LiUYz9uUEuJkZO25lBVl9WEyexV/curuS15OVwZ7rFceu
VzK70Vsw2n9x7fEvut1aKe5U4vFTggSumPzFvGM7AZjRr/T3euXAz79I+MWxJJ3GNFRubOC552Bt
Mm/61amj135z0+iGaFR+tmeUoneyFWrn/TajV2tJupMlGfBiitNDFK/NsJap86KdC8cW5ivnALUL
oeXtoVXTT+32BVr7FKP8hOQm8PVIotBZPtzjssRqX/72use/Fe9r2Ts8zWJnAWiGVByE7tksqYXn
BBfvBE3xnFPDA85OmuEHauSdMJTvoi37zxlPtL0xUotSwlnk77Kr/Tvcc1jduR1kFxMdIocFeDkW
K4rrtcYGkPTWm0UI+o4sIN9LoSEyxJ6rLwI1TkenKeQZNlHO++6ljLKLEEy7n7qHOjcZoLYLBiJ6
5r31hI6bD9I3eS3fcXD59TLjNJun5icjt/CYcizd5Xxxuisy2AMPkc3luB2BhgsjzWj1tpfiVNcr
+pv8af1YS068HOG8W8/TzoOzgJ7yvc64pUjN3k1ejdNDZt74iIMP0x8rrzh5ErnT12PyCGM+fqNk
amFpiykNxPtI9qkbRiZxRWWW1wwtqZiLE+92dMQ6og2COd3YnplfuYY9HJM0sa9TsWgGaUR3btpC
SQJsZmkA8h98/KFyBp85ZP3DLKjZROEdbwlluF98d61biyrlP6pLun0bZnG58cSMrm9MDuGhvuZU
b+XZyVVeduWbJkZXc2SWUfbo6ekwiH4zBGVGo+aQbAeQ/Ic4UICQQkOfREMZT0z75Nko+MvmPj8E
HBVl87zjtbdziZW+tGx18JwnkmmmSe9WavbFQyyK4LFPBgOU20A0dNMkk7dn1Em+yRb6qsZbTQqF
kwseRD+pHq3SyvaeM2a3tSN+fC6D7MoYEzq0TKO/JJDjP6/b546KOlBx0DOmZ4qzEz7LRdUBtqG6
/6YDc47+nct5gavYLo727HKiKVqtt6aX1aCt5sS9IUZcDcBgMjwg/y2jxsOfeo0fdP/xNwb0//r7
L/8/QUKHgIR+34R/ZAP+rwTF1cd3Mn/822378f2n+9v40PrHH/3nwFD8xZjOQSJEjEMPCv4Wo2BQ
uWYl1nTF/zEwFN5fv5oik0THpEY+5IWgy61CoYCcRF0L8p7n225g08j1XxAKLVBp/xpnWEeWrM1k
KXzHJEn2d6UwtSiKXzhc7nUxJM7WbLGPWh39twy/zefE7a2XQMmAVnY2v8sU56B1wSywPxG3zx4q
R6Q3rRol055pdr7dNA8fl6oPqVWvuePCZMHX/SwlmXNKYergGSAzHuhGiK02bBPLeHGv8As9+S7s
d7434w1Zw2d8XJrmymoiNd6Uj3Kpqu/B9e2b1iyzo+DcgZV7SU6tLIfbMtcFuBzfBV7RFX3ZRCqh
RLCHNwCFb+5QSHrGn4FpAY/E0DbfhUMMq5je1aJG7VP3lfbK5X6kbMw+eclSPjRw4sdtlrbjQ2nV
Jc4MZ8LRHWKxQ+FyRDKehGQIuaHYtvk2jGCAy6YqsgN2idpwyf09DC/GWPg+cQNC93fznDffDnjW
9CBDnY/PhiXDb65R+nNZI6VH0Yaq3FHwQNNzNhnePg3hDgDooyGejjW/mi4Wwx1/+tjn0qkRzd4L
dt3H2oOMardxcCcczARTlsF2tG2qB4ykMQ91EXifVFOQdbW5M7MEx62SmyLxTIo8dEP2fGzrvZVJ
6K3IUAwwECcena5O37iyym+So+2XNjv/uqT90991gep3MVQ8J4K5PJ19poEHGHYTpcZuWx54Vxzi
Ji6BraJTI3f/tFmO7pjT+GD18tIGF56/Lzwc93DrDLQfbjxQmlGt2DlF1C/Y5DdNPGMWMTnrR81A
3ryQRDXxAkL+c3IhDiS7ycA0mbwka/01lDwtREpzuSX7SdgildlD0MGD7MiEgB/h740X14s4Flmg
Gx1df5grWrGDVvkjizJ4IWXMQ26ZXW6/Jw2mWnz9HLwG/WlbNeAJORpHUE+EYnENHcxsoWW7L8P0
7PXl/Yr3J2jSJpeuO7t3RCvDt5Za6CtquzpvBxIjOajeD7CICOITuWkUr+ioA8Fz4ep+4zGKlZHv
CPqUB1h9NKFmBQQWwslZc9FVtnHwgwUv/kyLxSVTYFo8q+o+yCZzl9aWow5O1osNzhnQU8741tIA
HJkNVqiIU7cL5WcE476nZShg3EDt2IeLxTx5AR+WpFGqE5/QS+Jl5HfQX6eTSYMSjr1hsQPEbJMm
WWrROXM04Zi8dvAnyOtZktElA6ZRX6qZFguQWpOaIoCodrKn7klAPTMm66ZrU8vHlc/o3V78ltFN
AKwvPlAb67w4tqOMa9fpknafuuB29pzRLXfrQOyZaVqcbHc/zXo2t5nmgwZOUgGT4jApK33tKLgS
MI9wwkUWR+/yIQ35r+6TYIJAO/uxNb30PF3BxmTKQ8U0oWquWRMWo6iaGQFuGopbjn3CqMLMCvdE
1E2qh7yr54C5dx9mf6Zxbi5Hcql8sRELq828WMUz97VBRICt8z/FBBUMl0XcNjRwwo3dStcvOh6k
BTNVFxgI/tVgUStSLsUPpxQVlZ49yR2VUnl34snEY9mk+PmtsHXusIRW11Xlut+eoStxJDobpheD
47afdli0xoZxgNpi7GJMR3wqZZHQ4gnmifWkHGphMFhazp77BJY+s1GSTHUD68PFzRsttNExeHBL
SEV5siTMH9E2u4jstaoj/orlFvI6lRt5YhPLKHQONTqr2ult5Ip3NRK+ean9bGYa4U4zfngaMPEV
krDCrqR3rEPSoJEqnI7c+qarMVThLQRPTCdBBtE8Mzx952oa1J2kEve0BIHFnAh6Ed5iOnOKsW1z
WkIZOllqTs99D2jSNZBxrErYL+RDpz13H9z3VejhppxwW5ZskeVOG6YJ5HssyGQJnXFpNSQMGgo9
DuY8hJdN3RtRhe0YE3ONzJI4VXNjMLz4wISv34mYOc9dshLZhpGGkXaM79kt0+CgAIM91lamPxXO
tm9iYtPj1JbTfnSrh5BlSW8m5Ycgxcf6IcNRDaCblNqFUthHDziB5NEqlb0tiYIcxqoCies6Pbws
F6k62QfFuLSbrvDeJPA6tR0IYpxzbw5+QsJYmyqtnciMQ3OdIJXvvl8SA6vx/EwkTAZ7V4xFAFy8
qI9IQTUXPUJ6bqdsYoR1z5lyJvXO4ioxuIGwvRzijD5mUTEVupxLG8xm1y71E13dBa3Nulxzb2Pj
nBpnGM95ngDurLn2uzSw9Om7y7gepsRsX2UqD2+qlmIyeNvBF1tze7mEsnsDuou9ctK6uWh0Ls8l
eGdeCyCSe9fW7T24m1V0odPrhteCEDSF5nNuddhNh6le7oWPSI+c0vTb2PP3nZ/98QJRPHkrrmSK
y7S/5tOr3kyGKFuEE+OQtT13JIH+l9bNN1mz5TbBy33NyUUz361K4gU4nVRorDygGrUIfnnL/age
+b752t7Sh+zdmc1qsyiHcL6zBmNpHqquMC6EU7fvwqp4wKQzLFicazrGtxPW04kIR9d/emp0CIE1
450uSLefYADkr/UkpbyZodfwZcyc6rOeuv4rthmTbDpdYynqupi8OmGgMINoMfoPoTPj1rfdwr9o
UMCSDQEj/smJHZWJn8ZiZhq+P+J6TavIBROQbCjPdu+cjApcd+pYmflwLTqsuqrf9cRvaiQAtNyG
gxmarKspn1mm/selrFdt8pFfm3Yy/LhTP56KiU6syWv9CxfjxV1e1+NCSAo9FObPmD0V3HoOiSq7
M9315sH0Yu8ibH1+EKaPAj97USRR6HVsNvhsR4rV85FXOFJY/xLWnAWPbVZ2xCpme/lQIaXcO6Vt
pj6zEX/1nYaX0nVjJfnGOsDthV69royW2zMfPDNqwR+vIlU2FSEMHwyByoPlnoNpsoUPSPeukwaS
xOFQIG3yM+VBhFn9HoJv5/tmV9Mey05q4Zmi+KF3VfNW1T0MMkxW1QehTffsoLl82MPQ7caYOQ8H
PCM+y1pZ7qax8D37vKQd/IFljjIYcy99INUXHVxqRpamsjBFXQI/i8PuPqlnvaagqsc6HHhtbVvj
qQ7SEQhRgxBaqUXaO8oz6ltW/Xnbtn64HDnsMPM3mZw+xVaxrjsTy2QnwhHvUWiVZBo4NKEaZ1UZ
2XpW70GasdUERrjctKVynW0z6OGj72t35yfZWt2t8vzGZg7pMBMpLSbbs4N0TkOXvoKShhulw7z7
JJc+fGS6lAcRNwEiynNiHilIoXxD+9p5NUN3TB5yPYS3yiF/iN5kB+RoDbaPNV5HeoydmTaM2b1I
ihrqccr9+gjBGrYbVYQYayTv2dFMw/Hg9r3TbVyr9e9oPzMgIME0e/DYdYAMyeE5Wfr0wZ5FcDvN
knNbQuTorhC9O+5BDbjIi5NhzpzsR4/Ki1F6D2AU05tsXGgxMIN8vnFtlX/hG7PvEYPQbj2bAQdT
E5cr++ga36x4zJqKzkPvD7I/+L7pUi0T9wlPWG3tYbh79+Ywee+ULRDmChMorkjGLWWTM4m6xKv9
t5zaqtvSbI3PmvHBgzkzKj6Lri9XKrH/QytQ2lwCBaxj6lHc8tvGzva8THo+Fksxnn2c9HTf+YmZ
RaY/ZtXew+I7b9OKVeioFE3aKDPGkyfnYmTk2XQH7Br9uWTWEflzahITBbO4s+ahHYCGFMWFSUN1
EiH4zy9LgOGzTjKGjT65Mx9bZQrpzqqbSywiNOAYMm13UyVplJEd4lQ5vGoTLl7MRHVLTczACxHq
Pa6ZSLM1NRc6wRaVtg0rjyOdO5hZhO5nQb9XOk/1xmTxIrqQPIvcCqC5kE/gKcTW1oU/te8cO89u
T1rGEptEX+wdA/RXMCWwIcl8/4nJhd6QfGf9m0MDEKDmdohtAi9Ij0TBEQE9Wo/etQzr+laDWTmp
rOn2uDeqo9VN+VlJf/ia8r65840ZkQmHBCq09utHnNdy7+GNPwJvl+8cZzqCI8l9WrE0dwMvdF58
jPnMZjb+WMfnxgWg2IQtLHc5dJdkr9ipjXFBRpq+uD30J6sOMMCwE6O+VxNjF4VtDS0Jub7IkuAd
r4slt5Xy+ouJByQyjLk9t0r0HBbz7CLs8vEDA8X30hicrQonXrdTbmMNqv/Jm9uWzKZYqAOTcg/+
glttihJ6Bfu62iW+a0eqYg7aSix4dHZ4d31pIuwomHFnT+G7MOnGPFGXo7Jt4LbmjbtghSmMzLu0
6/iRx/7Oc+R51ANNJpNDKjBnFu4WC8kwRrKdhf7Bx0laKpfUNaglS64SA6JJlM1D8UwEkdyiRLvg
9onUG1bqyWOs9pE2ub5F1YWWb2InupoXzz96Aih9HVOFdTB157C84Zd/g1kCN7hrb3I8lYe464+D
ZYNmrQZG/YiaA9WFLSwcCFivFLaNn83SXZU4OM5dkZVbagLgelM6Kj8J+ZmU2mnYRYOu9/Mw4xrp
DZArZPJWA+jwUCb8v+1AuXADxLBXVAEoHlHDPZVLKa5rz58eIb+NW1yyPZmvwujfyES4F70lxl1V
DkzpZ7v7DCoC5kXo67MbxtNDLN2Ce05v7if40ccW08TeNizvJagUgl6FB2rcju24mDtOI7cFT6Pa
IZshZtWDVe6UobCY1PlQEcAXfs8WbqkEDc9Bh+8NGyWv5PC0BW08/vgFIfhHX2pKCC1RVdxMeuTz
nt3kuxXGZDNLLPUxW9LqXcuW8cRgC9Lt9O418rYEJfQc417i+I3tiRSEeBeJ4d2IrLC+4cnXROWc
osR5y+dwGrjd7KnT4CIBFj99zpWeXILRjSCS1XRVddRSBbtGksaBIKeW1zFp3JPPBOik8aZwX9B2
dUvOUHjHdUDyIV3DYnK54KF0Ru2RvnV69rC+6o0Hq5tp8ZxGKkD0ACWn8PsPhrwsAJ1VHoWbvrdZ
nZxtipOqHZSmfGtOzFm41xXE2OPafVT+3ONmXmxxJQHvd6Q12qzdiQ729KHH127sbYo9gcqu6bxn
rEjCPDTsmjYpv2I9MsrLaaLrZGoz3og+HKBbdEAhNtkYmj+NqWEW06nwYurSx7M92zGJOLixr2mV
thdMcCpsn5kixiegfFwYfmaXj9NaEoUpdvQuS9qAunOdaFo4oLJRgjgZUzQzlUArgblcqjLcKa5v
B5vhnM+KlJpTZMM5uuLS2b5T3LPU+2nCdJTLboq4mhmPdG0Gl4a3dBFHSJqcwJ6985VL22uWfM85
q6HMbnDAOF9FNgQvTGaILbIfcZJu3EOVF801fhL15bQSVC5uO/tS46zYW2FSfGdGY8RHFWQpZXBJ
CynCWojzMRYvW5cTHwMDYjgCRq/XTK6FdtlMV1mOXZdr4SCZRxTkdTcBkXrSdl0F8qpBOXAJiZLc
OtPpjFMcIYuve5clM01g+GfsY8dNLNsThwmKw+iP5rbN3d6PHKxPrzagPI7KVNuw59AI8whxnQR/
zMTypuL6wu+WsCqjpOTB3LBP596FIvbzQe8AKLUhkfBWyNhxwmGLmn0ydxtM5xqwZ7NahK3mxSut
4HXxKpIA5PpQP4LCngnTka2MJuKt+2DuOcLCCmtPnMRB0S0NcYl4Hjqud5UyFf6yHjXUBWL27qi5
OVTe4FHWUgUOly6KJfc94fStmwZoF8w/jG0mqKD2wPxVrPIieM062jkPljfgi1eefVtiKD0WJZEi
nmC7uK/opj/SeU0oFg+ZGiMRSspuwEcgc2ZrZK5TJV+S0kaX3Y0UM6hDLEqqODdTH5fNKQMuDFES
veGAiuxovDuxfiO2QQEHQcnueZjJoQJ01AQeJ3/NlIsckZU+nZkBGn318cdQJNYj9UIEI50+8Dgn
5NI+e92I0YksSPYhiEEwt0i1Ye3xEVGKU45geC5Cf1heANZz6eLxpP0jhwvpWhvH1GSSoSUcykp4
FwxE/HRPgXAF58UsvuGYiCvcPPgxinyNbZWd33o36SB7HItu9qImE0zqMMegOSYqPT3akXxEK/gg
FvleHpWLfgYzhd6K2LYZRhk+wg3lNq8Fy8/sWdknUjzpjEEIJS5ZJ5CwCGE2PKA5jUenQKu2Osgg
HLHclOOwbHGV+F8tpvsnYG5wY/O05KHOBSO9lSo90w3jMXvkLmDku3xoCUCTJrTlB6KeT5Nfy6yU
pEVwDQgMLgaaj2LBziS9uXjJMA/ldMeaW7fqCZgVFcDTjZcMytyO6dhcZ2WxOjnJ1755cRZvUQeH
N75JrbhsTXM4yEZ2w2VjChxvk+Hb4dawO/kdg8hIANMOGYe9uIIswbbEuqIrXZRPeFudiyWsF1pY
h1550cQ26WwML5wOjgdkxBAdUeaxMedLelxIhnCLNGTUtFoR0i3qItsJap3vCBXmzQF+SkWUNw+7
rUL3HHYj9TZXk6YWPmr7bNkpMyOuMuF/Z0E1w97BCsZr2MDg2NN5bA6X8+RWKjKQa5eogOtfRGlr
MkzqfI91YEnC4Lpbek73BTsbVzA4HfS0ZySdApuuMpxqwDc35iQZFs01L1gauouvuqFy431RWj9j
bgT3beBbTB4zwCGOUffIZUkG59hNigakaNG01a5j2ZQbr1fGHWLrEjyLlD5iCW2bC0wGxjyYrNHY
c6130h+HuMQ77dM48zJwjsh1AZWZHFwVRTJ+ep+D2jnSK5SM+wSC/HNDWPK8zKN8zsqEkzSh+ey2
UMVrY9jxrk4pizhlbCK7eNUrpeppJB50XH0g6BjfddrMjxlSO3JpDU9iA3qnn88AaDsQrUFRXnOH
1AH02XWWnY/hF4e59tPMgvJpMTX+5hoiEulbI6G4AbEp6mlPUVDdBxuVFkBhlBTOH8tQE8bE2d5r
BgpnRjoONb3ucNuZs1gT4LVNsa8/LUebB/e+V1NzHy/EWJIMaX6bCCkeWtWxZvdEGB9zqFr6nKih
2S/MV+R+mfwxiUqjYxJlNZ237GMHbM4x4PGFa1SPNnNLCJLZNcMGnDZ4RbFHNVDBvGOHUQx5JgF1
R7RLWCeY+Q+JWtum8Hh/0C+4sw1qOhsTeGWg8Ph8IchAnwiVeOVMpl32tizxHnKuJsCSciKxaevJ
x1ZYwSNnUeArZphQy2QiRYGvzJV6wSxb/9Axx1nUbpkDREFnln9ER9FnRGyt2FaeZthP9In+H6Ex
XpYs9JwoW688/Lcor1fpV4tx8Kf/u9b6qx1+1eg+Kfyp/0l9NI5Fd8z/W5+lr/ejo4XrbzHOf/65
/0xzhKYITRJO1Ov+TZwVfxGghG9nuQGIOQKI/xnnEOIvU/AbxDyFHfqOh6L7T3XWcv8i9umiztpC
eLYV/Jfqei3T/VeUo+cEjuNTSGMHHjBH/1/UWcGlRvfC0Lu5b8R49NBItppoBJa9xPmR64k16ks/
tLc6XIfJwS84wPplCBi+keLSzni+K9bu1xJPWHhNWgoTA7Yo8WUrz1qhETg+tIMzvf2lGRS/ZAPa
xIrmzm3T9MVw3FQy5nCm+k6JqujY/9IeDpBTEV9rKy8WW6eYsFtmJA0CfHReDkpnhKOx4i2xYP8D
CsLhGTgatFR5i0nb+qHcDLM+FFQwTPkQntTKfBB5YojrgS5Y1Ihkcly+jZbKb6a2mS7NX5CEuzIl
LHSJC8QdN9i2Lh241/EvhoLN28zvg1y8slLP1oF5ERuM8gWUnSlmaqTTJKXnUhM4uXRGqsej6heM
IeAbQUYfOyeLlMxgYgRG6e3xocHVmEXLEWkaszS7IdUCGg1e2JOnOvvSMO2ZBawLxuJoBHLKL1qN
eZA6YcrHAIk6VGjN9Ix1G72SQkRv5YS/TWdFToMUoXSHY8uKGWEoVV9abZDc6RVQ0kEqcdseZkmn
83rYcvx2d2zGK+Z8wEIfOkWKxwX8iRxlexszKq5PbtHATVl+GSqeKZ37HPqsvFrF2RjC2OCEG0bE
NlPIeTH0fqo9TiaxZ3LbcHBiGxfSB8cTmdPiGMcWCOFLGyzTcBgaGY9XBCDmEFboyowJJuHeQtS3
pigN4q66xD0OAG4MCyB3NRjyI9w4aDQd8L/wZKIqN5ibSjAyZKuGcecSusW5GPT9Fge6qHdyEfw7
2ggInI7+53g/5/lYnMwZBxKVrSG1RYnfeJTOy0aT702MAj0W1E6zQnfKpAZ3JNv2u8YXpC946qAw
mr/4nrElJ7t1V39y0prDSWIjlAw3fGqOTCMYSy64jLSzzLQ/m9Aa9DGxMAbRGiA7yFegY2cG27K+
sCf6mtCF2/yyRwK8a1P/FuHGe+o69P6op1/kRNw0uQgmUjSMU8qGkUBm3QMM6d6XcPZorcypEBVs
sWjAgXiI2xGHNha+XjymrUR2tsyc/WQwm/khrezlu0zK5Wp0zZbKgaFOLFziEjuYrnMx7WgZaMbj
YsryKuR03x81cya1NbOxfGMUom7CzDfVtg0byuRiM8zryHBt55HQVEPQUpSYXwMjsHsaTiv3kqt5
4m4bOXOyAecmrfNgsyZsOlk6V23D0HjL5G5GC83K9L0Pa6F3/oys4lkSw4XVcI3Z1pgvcGKa8bOB
ofWw+CP4R11X30WDy7poaUOQsaNfkJLLSLFl+gdLteUb0jbfm4bmxRt4gHRIO2V9rsxifCRpkXHM
m5mfpEWoqWh17Fu8zjA7nNDOjjigyl2VWqCSM3MU5ZHrmPNklXl37uZJvru5IEu19P+bvTNZchzJ
suyv9A8gBJMqgC0JEhyMZqTNZhuIjZjnGV9fB8zIzsjsqpLORW9aKrcp7uFuTgKq7517bpv6F7zC
FooYAzuP59BvvWXKF36OpcIsnwkeUrpZJdkFlV09RkSA9zgezGhlpnmhrPAg8ir3LZl+o8KvD1jI
HZooRnt+xmeZf1V90TuEWIwRmTxvHCRSicVePx24LfXBcBtWhbL3TX3p9wqKdHgoByjkNZAKnosQ
AUSD/S6rULHofnnoZZl23jgZGle7WS1jNzE4i69njrnqWqhV89LHk3WHN6JYO8hG37XAt/Inm5sk
sdaRL8oKPpL+Z6UQwgWBY1+XUcCCaXw2PFEPfDzDlzlS1M+2S4n0UICFkSqpt04XcmAFnWWtkWUG
2hz2DcTIo2onzUbwHXUw+BJ9D9oDYVyHdcfYEVTXTDJWvVn599mkqI/BxKUIKo/z3SYXGpUBNGPF
F/JCmMw7VUdwQVrSVI7mrMcfkmLJfhdEwLkn0/DnNXg3WFusGdmGCZQqVzMj7zNW++ARmUyeun0w
alQlGxHmfE2woFg5ImeMTPBxeHJI6hPUiGAUVw0/edjg0pQXgj+Kzo0iz0gwU5RcunJaTBu6CMv7
qNJpP+fZgM8NdYlcGAZOEHu4R5ONIg69Tc7TjLpsKxqPSRupOz7Ms4LQEPcrTGsZrXvOB/SVKFHt
b9tKOLs8jaNvOTrVC4Hr4qL0bUTFVxXNX5w503rFCknnHsaspnD5T7TZuu/iea/lZpLsGsHxfhVF
FJpDDsy44W17+SHQ+sXlJsnic5PMEweE2jA+ON8uOrk8Lx8nhE+nQi0HAJ9khJkwEx6tTgdStmLs
ld2OVI+S3Aj752FCPZNMpK+3qoKxNs5UG7jc7pr+lDjz9Mgk0yZMEWNpIulcV+VupHTuxxrMacco
Vrv1h5DLYaEMhHyQ/Q/VKh/Ifbh2b9nY9cfQvzOnmA2I2cWlc55sielFGazwpBi18wbLLy6xrhyr
K0djQdR0C1qjXSkbfwFuDB5yrn+FcCLG94x8P+MF0IkWVEe/UjvARxA8gT7bL9iojV9cfz67flAf
ZI1QPyhok71K3GDFM2Yx2MAITWYMJDt0FM9NdRZTDsadTaly66BVlqp7/UIcZQt7lCLoZBsYACRV
C5tE6AZMiYWlvrYqCnBGy6f8rpr9mlIF2CbzijmFC/EkF/ZJFuG8GzO1w/zK8n8VlgNWXsIomRcH
BQMBCMHWa8NgOCpXuEqVQ7shhgRyBXJt3fYLh4XCKvg2Bxm+hc30qFxxLf2KblkLxRUtPFd2Rbuk
tdxaa55FmI2MWe/3Zt7KT3bHoAlanurKoQcV0xZmDOGFfaHYiJo/ylIfU9SJ70Qam+LWiKv+F1AS
+CywFhBNtiFQWngF1IQ+J2v2aGW2Aa0DYSvMZPwMdLi2wSQy+1zgtYw8WWjFdyUMtb5QIgsQp8cg
jwfzCspFjsaPMQjIrzIghqUzmBpTkHtF7PwrbqdwnEM3d8Xw8tzoH6ornBclCiKyK7JXXPE9A5Cv
b8qkOAjm0axmnWG6kNFH52jM4QkPXrQDLwAHDMe69RjzsUm84oKWGYIOLpMLVlm2bM/RXIf7DJPF
IY+ViEjRYNypZCywnrYDBvORKCgpwXQDEBjwLucM8l0vFCNZ0XCDSkJ3LfBHiGGIR0XJgR+HiY3B
3qZaJf+YroAkD1rnkfpu87vrK6NcBWad33VOUz13IyrC+IpaGtR03TR6YaVr0GiwZtXUniVntdum
FeRZ0j5gzHq9V4rrHVNdrpvjVJaU0SWl+cULMnV5ZXEzRRtsvLR+86Ezb4Iw71Pur4GelL+QS9WL
dr3fMgTmriv8jgOHEk35cxV0weNwvRfbkgJHlfPiA8zzcnEul0s0m6Rq7Vxv1q0JaG4u122Ne/fI
mfxDG2e57riTx8vlXNENnvzt9c7OIpn7u3q9yyfXe30Gih3fRtf7vnO9+yvXOYB+nQkwEcioErvO
CtTr3CBaRgiNVRnjsVsGC811xhAt4wZc+0wedJNXeQh5eV9PTXDPZ3/ezT0WPvIuvObdfO66c2RH
5pq+zvKopo2x1ZdhR8TUw7zOP8pFnRbWdiz2TdxM4UtWlSEbMp0O6FVW1pwIZ0PVTqVRdWdzGJmG
xKQbOorjKsK7B5VCoY2hEmYmHksOaoiqbdcgyGSyYtXOygjpeqlGp70fFH/2ApZoryU/2z2z6DpZ
GzJPCrB+R5EuK7Mo2qgyBBFFXaK8od3plAMTe3TSnZFZT4PRI7SAsNBom6h7HLypbTHn5UV7G5jL
5YyEYEIo33HGh2ga/XRbMIjkn1DMb/TBD+86fwrpxjBy2trm5126JnWjnmnU4ztBfmyckUbcHGxf
feSAyxM2nkkFsYsOD3QvjD+ZX01bOVnpvtawsu16h8w/lwbbP7C5JUVeUHGWalxnXA4ZzDfD2WHo
PCeQWExk0d7quWnqa5RcGwpAEWM5/Iu1+K6NJN7wZdYq5rxJ/8nXV940SdoSTSbSEnHsyIOdz9a0
dPsw3Q5qZdEQAe92p6schqjbUSPt0DihL7fciFXaxyIl5lbF9YbuKkFDnwNb+i5aXmDk6Drur4xh
zUWhi3GFi5IjpyeajDSTVIzBSiKidPm7r2qx70OCwdmY41sJRb1LSh7zs26QeROY67w6aQG0clJn
mbADkBa2gfka9A8gCiK0eTeVyr8LLDAxqdUhgKEN2xUQnqBYPk7lZa7bojlUhY7crHF8SUY8yOWG
aSmD8W4IcNj14HdUOYQY6OzSJkEStJHzHTmG/cD49ylcaGIcBhLrZg7el5WztUXQB6eWqPZhYvkL
90IrfclM+kyeT3WJ4MuaXb9I0w3Jyua+9geNgVdnLbRC1HzFLXPurUNGm37GNl8AwrD9Ltu5v8Mo
z2oxI3zGMLUI2MvoUJwfZjuoLu2gGhFQE+Ia4oOTfSRvsHnLCxtLmrpDfziBIB0Dy0EymQqmV9A/
/S4x5VfD7uCcyMAiYZdjYw+5JemVSmIz5cTbS+MFKvybjxsK2WtSX0bfaR9l+8Y3MjeNbH7eMSdk
XPe3Jn0Vh0w0/IH6ojzbvIa3UVsH75wpMpYu0SQfzORD1YUgE+cvC6eckMfELp52PbFP6MJ88Ekz
ebWNSZMHp0sjkuFpdHt9s0vWdr5aE+wqk92c2+SpZJfEbjmW+TbOauOh1rQJxMlWicqb+RHz2/DR
1SUmOj9BROm0kzru0qSQwYaH5PA1E68eqAzQKqzRwj60CVV/K6KTcbruB6X6EIm0p80sK3EzofnY
FSNn+gT1n0d4btiBVHPd78vkPNjGdCsFVOlKkC6/GZD+E96lmPRnihtwiIQTJLhHZj9OQsqbSSdo
J5vc5E6MGgDHlOrqnOR/UmWsvRq5zvIyea0ctP4r+nC6UyN5iLYkT+J1ifbE97LCCXZI0T3cAomX
t+G40rD5YQGUZfvEcbdiQDE15Xq83jkwr7oVWaxf2wgdvKDggfhD5zcNDvw+p4KYLA+Y07qCeWdo
rnbaOhI8LpnceKJI94MelF6YavKuS0yNv9BoK2tdFDmHHSVjXd+hFwysVgD3cj/tLLN6HWoVmH2C
MlaFJe5Tx6S2DcbzksK4YLugLhVOIXmtUkN9ZWtZumwD61tkhNqGqb++hbOjK68ZaE6HgOdEI85h
tZBHFPEd2McgxJjoURytW/Sbwxp82TxOQte2QndmhJEU0+XATtyR+wiGLFA2PS/jLU1R0RrzfHbD
gyre8JWxX1jfLDaouqrWOcm6FdjJI5Z7GKtI7cdHKcdmO9DOxufD6cQdxLWNJjqW02lIlWHDE3da
FfS8bac2qA7zHJT6cdTikno3USDnDZs3BWzrUciKHtOxmpunuXc47QWJ8VKNserBwKj8q87qrpT8
+9d50G4sGI3gADOQ0soXDm4vhCg9c06szzFPP9BRR+ux0JgXtHP2Ayzlezwfinu8bWyZIl+5pZzP
3pg+3HbMixVYIgfdCMvCW6wca5h4ALvUui2Fn2kksXqsNQ57FB7Og4iO9Brke0ut7R+1Nc6Kz7Gb
xqmZA5k/naVJneyItWmtgXcSMe6ZHymFF45xu5fjzGxqKmb5LPVMvImEeX8T8iYJKDy0qrb0COOn
2EI52CLSFtPnHKXGE1Z89XeoO4X7gEMZGzKDWIq5vS0VPJensEdAx+8V7qC/vyqh6c2GZdy44+g9
/YZ2nJ2TRug7zNnVpmYRPl3UxMcSPVFkYtOpRsNRE3KSguPR975K6S225Agjp82l5aIaGTy0wIWH
ueV/1gr/N+4oTdV03frvhVGnj5xcf/1XY9Q/ftnfFguO+YdlMgk2AKSpu2GI/3dNlKP/wXqAVxfP
V30Jiv3DE6WzPXBUC4zc1HRDGIJtwN9jX8YfNqlIwe9IRMvB6PjvxL70az3OPzxRFnZKnimapQtH
iGXF8S9+SLjKvFTUxNnFdZTtYD55dEbcyVqkySXlfsFaBCOLujj36MqgxyCcx6esAdrhMv5SB051
Uioo3MDPxqOFO/C+6c2LxkxllXDXXmmDGTHfLRAcZw03pLD2n03dzk5touyb2nfWZmd3xzRp7hXe
aJwix/BTKAnSFojItd6nZzoXSGoDffE+aiR1tWbVmVvFinhWloJEKlCCvR79FsxymGg4iM0RYpme
+jXTYBwCqo+WGFHhTskxdu2chjMvWe7wNSrLn2RWcgsfxkJTjFH8Dpv+OTi6umO4eBtTc0UKAjxj
sLOWDg2zcemE+VWVPHPNjibmUQySHnA/u49hyk5OInYkDdLVlbStI4GVoqZsrK8ild8oeu3HGKFG
S0J/peRUcTTNwDFWGHsqGePn2FoYX2Qj21rPaHrlIwJwSpDtXh3i70E0JpVGPoV/4XSNlmBmYeH4
jigfcKvx896bdAqUiRMGDz2pidYYlIe+s9ILbXOKB+DtU+Np+upFDMgyONUOYbo0bPTqWquX3xPR
H4OLpE6MVZKGar6LWp5Fvj6CrRAsaXnI0ALRKfAOu7QMA2WPnz89wjy18dbHQBWt0Rwk2DhjH+k0
SjwHDq/pXmiv8Ot9U8kmZN4a9YcKAltfgelXkvfDxACavgTcXHFTpiZ7UlP9klzonrn+5OAATsMh
3rQqpl99lrXUEyrIKlHyJcxlKhMFPzpVARg8zA5jISYlr20j6xPTXiAYrYiZ1wSab96FQZ5pbjso
2qpe2HzG+FwqnLy/E6bRaJcpaQkHOYxO4RBNK8U0bmrMvp1aG4b7mN1YuAMX7irmncTSaKsGnsKu
WOm3ijLkv0z+siOWgCDYtNAKpdezH+LfnFn6oW2SikZorRbMgQbn0vTBnlM3Z2Ix+GAz2FBBcLHH
EIhE1BxsTOPWVs3XtLHO43KyTSNVXzdRvQtbZpyQnSekYkhfjOK+N/pPvzQfsB1uJqY5t5z4dyJL
TtnQVTdx4LtGUhBqPMkM/B0la8KAn8EHWQL6egdBiG3K9oGaGGdYU+WHj7Nb0LLt9OpZbyPFzUf7
oqpVuS2GcZXxiNqy1Ctd/qq/xnzJ2t5tIAGpsSlfM0WPL42q7ksZRiQlamDZ0IJ/amLpFonybUZp
8uAAmK2k0mAVm9yGF9yqGuqAD4Md7FJBKotql0dc+yECI9b/Q4oThqQXK0WZMcGcmO9qWdGspxnA
kouV8mGaxAQqyxvzItzMBghIX5K9yW0Ms1VhuJYJZQssh1nD1/LipEaxfHem4EFPs8hlttt5VPmV
fGXiLTSk7WoGVGbHlPprNudmU1MRpNkjGlc9pkbUR86Vp/6+F9YDj75TENOIYVSTfkgie9uyqMPh
D+o80d2B9szLSrsDolG/Wa2yB5TTD1KuO0onCsrjTblFivpInYz2M7R28slg8fcve+/z3x7r/wsJ
+5n4R9uQEaZa7a9taTYUqtQYV2g6DKFtWdby//9FD5iXI8KGSHN2SlDSg54BWRN/yzU3GEtxF3LF
iNYKTv9yI0ien4hGRq9BvND8Y4/Xa5XJIeQ52Uq+dRI9+TnWueFugjGpoeS43BvY5BOob8pmp+ei
zrWvHleSCZw2sHq0ytSimSqba0mGoav11VjW/SHRyCB6YSCVmmGB4GGRl/6xn+K+34rr00S5Plmq
61OmWR44I0Alw3bUm/qO72XvhjXXalYJtH/ZYRLft7EyWauUduQ9h2MeU4MMvlimFCu9DbZlKLub
1Ods7KjGtluuiVjcblQme0eh5keddo2jwXplE+t4XxOdO12GYh+CD6Fi3xn3c8bCATyvuZFoV72K
hThaoZYKsyJq3MWVa+S0zho4y380u8ifiCkUm8oIUz6r8Hm51ySsGL0YSrlbS4B7DxUt3xapxpzJ
HbLixdrEZpgwn+FOfiQLgHQnBsMl9KdvRkeytayUzEVIkT+HlTOfCeQsLd5AUEUdH4HuzHNn0mi5
shkSvPFQQFRVWSjYioGC4WLpYWHxR5Vt2dnfAWLTDTU5F9Tx+kGS9aS7K4u1E4NG+oWcCNl7W7eE
FRiVztFNZuuSzluFtRPyWQ9wx4SN7xVPU9KWvJ/uM2MKgi8c93xbR0Z075Pg6YUBUr9DVKteol5S
7aJpnyY26R1seLZp0CGi0cnqcxqybYuE7qVZMbEY1A7qAMtkdUp/JHVju3Ksq80QNvWaNXRUA3RW
7XRTtuKVCqtxw0/uBY8XGvYk8vmbONNGYccBnqs9Zk5brBP2u6SwuRKmpeeMxjesxLCVVK+yfMhJ
iMHiUgV8MCwKBbT4Bivfscn8Fz/ASE1AjfTXZ6RxmSqcW7WndGLqcEOPc8emdtRuk8r4KczAOSUd
o3iNy8jWHhV7V2jth7Cb5hDaWr9uZBJ+T44zsOOzm0tW6NO+acSMszOyV1mGkqzvmy8Oi/SUCOO7
N1NnqzDlhZQIbDfTouhoxsrbHGaBl02qdgt5foprAkpUQeubPFcm17C0YouC119XJAtXvahnmN2O
qSdJSXa3ByocsPKypeSUsC3Kpj3NpVa70zxNnmWW9ISMcFuBP+LR0KK9TjPSjaJNksMH4xPwTe1C
JrQ5Q3RsDKePaLVeFjCUvKTYPKzoAHWjDytdYZgKbt1v9E4rf5M+gEhJZLElVYcRkPsPoXl4ez0i
XY0+MvaqYSQVmnb69DYKq0fEOE76izV1zPr6OlNfwWDAP1sTB00exfFv6DP0XWV+EK5jyFBC4vrY
lJ6ysL+bgu3y0V/e0fXytk6uL+7y+hKX1xe6YaUBsNn1Rd9fX/rz9QAA9cBhYLweDFg5c0iQy3kh
XE4O/3Pb+jduW8jz/2sT/+knCFHxT/9Ecf153+IX/nnfQq3PU8RYmC3dwHn/v338tvOHrTGkkppj
W3/+P396edFsqFg0HMdh+mFYfBr/cd8SMF6q0GD4pPibgePf0Gzoy/3xr3Wl3LewfBiCLlXbROdh
/ssLuPPhEwX1gbuaWR+KuypBDGUbcEjkvqPwe0yIcbWS7OwelSKN7tpkBxs5sAHdBo5vPFW4EvYs
8CTHN5lgds0ihTerGNqx8jDOGk/LSZlK9EG9yxRFtGdD5NJYW6NjYwY1zRjneUF8iUi0XZU3qlKM
e7r7SHWJgC8JsbHgsREWr/yeBzmHH015BIah77izutfSJFCbU9ixIYCDhzC371XeI25vYJadePFT
FQ5WllAp9AU6UQ6srxoW7Pxlgxs1buihrOmAuhEhx3wXRzlawi61mQ2l2Q7oPLur9EjfMdYcCdDP
xm6KJi6QZuUQ3J5wI2TpJC9DiOCAnhTbG2hPOZV26pBMwoOLW1ndGHVGDWrncH0MJVdIUy+f+8Ie
unsfKTd9BZj8NNpNlgFmRBQD/7GhcqTzo+AwgLJdKp6DsNsEhakHR6o/IATqe7ZpRAxYGufVGLgN
dwJqSBUDqwDjVO46gUacAwsaNrMLrdTOdFcHtswvMIUKnLKKb2OXxAoKubC0tZmuNOaiB78fgPYK
bOj9pusYGW058CKFSPVKXGzqWfStNlM9gahDp7JE76CQVsbc9Ljioe09q1XDb7UoA2udlZnj5XWn
PQsfy5wbqKTHirj5Zclz7NATnXXGzzdFPdHbY6jKTqEQ6xWKelyFqn8eRlbcjGtZibdj5pyMenCz
Cb++FiXqVqpQNUXqc+6thDp4DRLHbyPrrV1BSVTkRT3RWjctoIyY5NqPwooxCExWwdkelMF+SDWF
ATNVc1wQI7HovNMHqvBIuyM0WJEP5pgfGMWBJoXMVRqHYXdkH5hPctWjSvbRB+zZYlwTBymXsEus
eEtS8g48YZ0UTbOs8Km10GRzB7CEnw7vH1oso+MymaKOhrwPEShWSJQDD0IhvREURLj8XrzpsjS7
qdGVEGWPzeiRT2t3LFRDI5mpF9NAJjGK91NA1eqqQOJJA5tcpWUAQ9YPyZ3Dueet5d+WO1yB1h72
YJzYFg3jqK5mPBqke8Oc17n1PEZRdqmmwiuGON1UztLDGvfRtyDBtYFBLx+yLmg8K+xifu7x5EnS
AG8WXPw+5WB+gur+QbaI8AvGKtvYjD12iRIjjqotJXktlUE+DMVEzFfDF/leTq1GjQQL4f2QwqaP
LKzdSCc1SulvRxSWygG1Ih8yOxZA/kieLcMWsE2Z7JK5CdJd6iisLuldF0M2nqRQO0beDfhTE6Rn
SJHq0CBU5i4cOneBUfnUm/d++//GKvX/HdvM220ZA/73eHM0F/VH9i9DyD9/2Z8vReMP02DGt1R0
Yz/6ywRS5yNu0LBhgTDzcf4H2mzyK6j85n8Gbz9r8cv/fQKp/eFwhRSOatsav1b+WxNIjf/GP70Q
hQkC6BhSR4ylMYJcCmz+ciMdKYFg7sdWL+9NPNhJXiIkrTKPHN6tUTfOPuK7xQpxXNFQ+aOz8TwF
guKTv5wk/pObsfN/DEKXPwed95awmNeaeJH++c9hOAERSMridpTlpruWMIjJ96DgpNzdhOHRrHaV
POOeuEU4grRB0AWlB/6Jqr52VdXGY1dZZCx2c/M8R7cGV0gjxlYZ2axx/BZbhLSOpQaIM3CKNUV7
mTpuNX7D1KtkU692T0MT3yAwBZbIN2gSziQF74bEP+hGCSMst36TvZhZcEecE7xRJI9dZNQbStg+
SO8WLnJE6TINHcnXBnW5GfkPufQNTibGwNeGqi9KMraJP+3iwDiDyzBNWxxP/GAbw2hfQRrpv2WN
s8WWvAKkuemZk21FGKwn/VQoBVcjg8vbC7PZe9bMD1x9D02AedmwDnlIZTUmeNWqHsZRvBHwJsI4
Jrd4zTh0BBTgAqTaO0NEmCCyW2jigxzFDxnCna2+K436tMx1sBKfalHfS1/z0PZttFFxB8JYKx2p
9lo6+nrqGJFN6Sfq3++oMuQOM5Hmgt7+sjnz91whwHVmioYBySvEBfOx1YYTVq4GCTS7kUHT1wbr
XCqG9rV6T//NGrYT6bA5PPBWP2sqK8GB29ejweQ1zacNZbmtHEAWjKfMRvSrKpRLNw9VPv72mb0f
G/VtbszVVKpQxUP5iuhpO7GCwjIrthkHhcyHE7Kcp2vCVmxR3fJC0qzMHdt+M6n9baD4r35JXFka
9zWDSAiy7gkYmknad5GR3FH7Y8fcmEk52pdxHmjyRMlY6/k68VPXGdv32CBAzMx+he7k1eKjSYXB
U5ShefDV/Jt7D/ujMHOLhsiXriqbLG6/1KUTyVd9tl0TJ858Y8Fw43h4iTPt0cxerLqe7+JkSF76
OTs2iXnxmQF59jQ4K2IxlPPo0oXpPVq548oqR5+UvMoO0b1SEPy+K8VTg4lopVXKEopVQd4tlunD
vGd5+WKinF94XZfu7fPsWzf9SDOjFBh1DBBBWg1LVI3OGgEdhZTmVNyYsJQcRgMXFf65hVjZ0OS+
M0wNjAiOCBABpNoOz32g3cA1wM/u8WVxrJUlPVXOOYo6oEV/fCnndjcn8hMohcR+nq4SRatPlaMt
wB5Zzkgam2lk2m9HnyK1t1VyNjWVs6J2yTLIhgKvEq9t1c52/SL2aKHB5lm+KJG/BuP0+GhYpMf0
bG/QuL7qNUqO8L/eEvk+hDrjEn1+inpduFVnvUWELtdJBHwyi/VEsAqD2Z2lN56uj+t8tq0jfoFN
UIVfsjfPmh8vXycdYzIEABP0u8iBNk2c9zyp9lEnvmn/2MfVfJkWXAWfQoYbO6e5gFKdtFLibWFR
P8eq4Z4UUANAzPkJ9oMWrXONzFxtVH7yzFADVdnTWHSieGUgYW0M5Pt6BplEJhQpzqKmniiNqeMC
MKURxOtDeoMjEWosNMrPQjguS9Znsut8V5rSZZy2Tdniu9NYEIKun0Du7/y8feumrFwo+3BdWjZu
jOnBGoaADMtptNojrbDUUtaPquLcIe9+a1PxrnMgZmd/g9DprZqSl2SyMq8t+XuAKE8KdE0P+mCh
wp1M5d6x+fFkWkX8hfhnh9muS6Z5VZkFqwerjkngDftBtXe6bnhzXf4aSebBnn3Y+ONB9fx9Xob6
CRcAJGtFa6JW2T/sDZ/HpfOV/q4NtsNtZThIPc202WQG22Pkmjt7dj44q3NYbhw+f7AhqQwpZY6V
J70wbsZmajZ8w27bSXtBhfM5WagBTKxGazVrPuLE4ovBZjtskW45/jlXmAwP9o3at7ezrvZEpi0G
hnVyYt+znwOU6DQUrFRObLi7mpuZHyubolPSD5S1SPglfMo0XkK24m+yyQ0HguOeD5CWHPnq7Vut
yzedqZzh2IClwiABNlVOpko3bhRgGChKj8HrPSOdhh9zcGkg0iuLz0Nt85NMNrW0Tp1j7IvZPAxU
Yaf1QYaL+cWOdlR5rjDEHKR464zkyc8a3AW1l0wdShqMPgUPIbUAkg59D9bILYv3sMmZOVovfa3t
kSq5bWoeybzshr7c0kfuag6zK9uWezXC3peQ7E+sh8ofXIZB3BlvMV/RC4G9ekh3Dp90O9Veu7S9
Y0y/S7BUsfHxotZPXNH4O7pvEUn19aP024866a60cHKQ9YvNNUpQJrrw/rmj74a0u9Gsm3Em7E0D
CDu8+qLMxokK921fjnLlYP8i0WOdxRj+lNMRrdOGuPtdOP5m/XyrCrmNY2zOqoG/saD6pUPLm2pH
zm+wO9EvNNN3GJh3hmxvDVnvFsRdnYaNygCLfY/zai81ed1vK7Q1Z+7zzMW9EfWtqEa+hMUrX5Fn
GqwPVvre2wkqrpxq5tiF5bnp1O7OiilpLgSPFz88CR5aQJeXuikO1jDedg4W7ZIbuMjes0BJ3Ukx
Px2rIiqmwxBNJzzK1LTGBhsUDd6bbLjWfXRz9xrGVNSIeZdo8ddc55/QCMdQOdmlv8pHHbNIQUV8
WEIDMUtMuSCRRRuiBz07GDwUAESIgZTkqUOQd7Pt4GozbzBOc2wD8KR3qhP9MDbeGIzngKJ4fxat
R2UO4jM2yol6KgL8LalT3QRmciGIRl2bvO+yfh1StYqH6C085emN3jzFZuIalbItm/i2jBtWB7RD
G330TB4bv8XMxDTkrxWfrdnNO8sjYL0rsubb5AYdRslurPgBkq82M9BROaZ7p4oohk2PKN9cacnn
eqw/narzNy2xFYYB4bOolGZNW/a8HuPsadSkeWFFqa0lqQpCPjTpyQIXKKzrelDqQwLElbR0A+em
OLOmeAviib1F99L0qacwqMH3XD/XSbnjBsnCGC5vWSbqvccclj3CY4//EV4GMRjNNCK7ryg/WfuN
N2kYoXrgp+DUD8JZD/QmOg4fdfrAneE3JYTTRZe2cg5Dhq+vRafUHGDf6JOjMfZ+nMNt0WxDiXbL
L2hL1uvRpcSZ9weFJGp33/EqWpY6K8Yls/MUWPoLE+D7qFN5HtheFDwmUeK1htjRWHeesVCWdXcz
qtml186ZwQcIMnaO3hUUbGPFTbzosHixjB/anRz0G/a0AT7k8YCUQFsPlfx1WHvw3ZwKxja0UsR1
AaDNRaKswPduIo0rOApmOQRb22w/UOesVNXpXOGrERsRWgkV6wXdCxL06hkb12ZmTdTpRwdCLIp5
ZJkcSUcCYZiYHrTssRcbSiLMYd1dt7ig1IgxsuwpgMZZ52QCURuAZlm8kWu1mQ+WnyeMpmT2pQhi
Rzk5iL3vG/QhqbXTvoohKRhdz2DDkUB+nrbTLx52++zEqn1iAd9/99DWG0ImqicESORqlrRe+J29
1m2BZxGi40vmyMRtI5NHtQrYPvKwz3YwyclzYTn2JtUy537ujcWH1obvGafhXYrbkViXIrRNW5Jm
ix32nmvIj3CTGjlf2DTaa9YU7KzaVH/4T9pfiGDmT2KQ6i4TuHR9NdYeClkbW8yG7Z0dTvVBzePs
iJ2ufuC+x/mYgxmN0Ng4LkxcjEebPzFtSxXvljjEK6o15bHozWDfKQBzFsuFcz4ro0vrir0PCOZQ
XdinjtcVZXXK2d5veNcABQpn3itO2Zz03PIPad01B6dDE8IhjqvXWDv83AtZnloTc36uT6fC1ik9
CbDsPRR2az2rtTp9lUWOW6OV/jYgF3lHL1HxNhq0IVIOjMqoMvj+2ITdPu1Ydq9Kagg6rvswvjPZ
8D0KJw7vGTROlwZxyK021OK+N2N6W7BKHSfzucemQBC09py5HRk6auaTYppTz45i0t+ErWCiA9tz
zXlMLzWNMLdDNFs3Ey/M91BE1g51rU3oZSTbUs/5mV6G9iz+g7sz2Y0cSbf0q/QLMEEaJ+OmF+70
SS655ik2hBSh4DwaJ+PT90dVZqMqgSrcu7iLbiAXGYjQ5HKa/cM537F6dVsMVnYqU1KYHBKwgNGu
BpJaDnvkivGBdR0IWbshlhQSGvtpYWHOzcoDaPvmAH6DUyVnoLpJ4kiw90KYYiE7f7UH9iVgV8of
mVuIS4OD6+hkvnU2FhZJ3lKxUinSuxphdjJsMyh327Ev9K0QmpuUhKzxUfHO1AjtlS4PIC6qcGiX
n26RMfmc1ICXMBqfiD17liQvem3+7qXF0XHLU1LDT12GgmM/PQIGPbcpiYnNtIol3a1hyjh0jADt
Mfev6b+hbj2xFza3g+X88jBH2NjFnC7fMYLdjnG+hymEAxCtAHwnd642CKC9i4wd81BF3ess6idU
5afUlJfCGUIm0dsks/mOh8OYX4TZvVgW2pLGUG/oh0EvxikVZek9jc74HBnWbaMJdCVffZMm+TUR
oKdY6luIuOOpsVondA1RHMtqzAmyF7eaifvqF9uC69uR4XLTppNiIktRzq58Mwhnjyd1XylDhM0O
kcyQACas1TlIVi6I3MdF9bup1PN/HnbY6xLkn4Yu0vFc8hBRaHi2S6aNGfxt6OLJjIrJ9cDiFa+0
+el5mYf5dp4akEtWoa9Mb5U21fFyz/mUPEyp5z5ZGamxXdRC6VReNb7JfCw/sVysV8361OAtCi7u
+iQl6zOVr09Xuz5n1vcTtz579RLnjxMgRkpnHs1hfUYBtTQ3en1umW+ql+j7YZ5jW10NRY4ROeJZ
1+tTL9fnvwvqeFeWS3tTIuM6TMME2jSKEWJkhIKGldVFdyjqkOCuZ4u1njKwy6ZTHHHymH1E7Lkz
2U8+7p/71lLU53GS9I9mVqtHs1blmaV2d9Wgsr+NF7oxInqsRxG5nHnr6eet56C7nohGXFtfYj0l
O92nTPQJQ27aBKToepiiz625O2OxK78P26EAhqtzmfyoGuoM2CnBg5PlwY4kgPxltBMahmni+DaT
yQOrMSX3DhjCnxERBDsS87Z2k3HJf18C9ZBjZ19vBgjV469ovS3q9d4A1IQybb1LsItjtlzvF2u9
aYzvS4ffZn3CwAZmar2T5Ho7qfWeivwiWR2L1/V6hyXrbWZxrRGfxSpVLmr5xZDwLEmahhkuLPUC
+dZ8k99LWJ0W4lW762q2XLe0UzADYtE2Ue5NzAAq5725GzxCE5eSAk6kRILZc3VBIEzSfYKiVTQi
uTQj7zy7aEGDYjj3jATukIPS6sMp3aE+1gAqaW6A2e4VZP0uhK2zfkW7o8/3S6l87mkD0jU6iyTZ
st4q7uoq87BBCnEuMw6JgzeB58Kf7FApwNap8P56Tv5pm839aBdBBBdEuO0+iWzqErqFLbjznIFX
icc+632mai5s47FtHxK6zeNkOO9dxShnMEc6iYW6cuHtS3AO+CNcmIERPWVZ+1T0SbkzpqwL0RmW
l8mEyypp2L9oYl4Nabo39hAEO9U4z2NK6TlijGJejxR97BO5Tdu4eJCTZ1zLdM53XPSEYJh5+uSb
+CU8UFSgKL2n1MqeZJsm8KKC/Fj5lNlDaV7FtoVzcEzmZO/NI0VPX+Rs6rwfKebyo7TS3xowEZqQ
JaEqzoedsPQ1aGoT+SL/fOKNQXjK+OYOVn1VQaHagzMB0tbV4tDqogutMShxJDsHmQBbL6oJa7TZ
unuGqYxVTJLVV5kHWUuYxUCFU308N/X8UouyepyMhnZMFsnBGYZRbuIhr69x9uOwJObz0Gvd7BDp
AUTLvGYvYfpiSxnVflwjGmvJXDMCTQ/PDJlPPKsfUzX6ZF3n6Vu6VLgWCyoIt+kOhS/7QxnY3SFa
CEJxuhSdWYmop7NUuukbEBpgodqt2TBf7DNYR0kclJQWjUk7f4eOFAOOTcWkEYhvEpJrsDP2/IY1
XWu09gMqGJ/4OBJwQPdy7ZIG/4xjujrXvRudRAO4ueHavakj/5fVqPIpF2jR5cyBYpTY4cfid2Z7
T6AUre1sYbkXRuxcmhqvBYIsQWOT/FKgH9HAIiTMW1WGVAUWCrj0U2vxNhXvppvd9NDdvF6kW135
d4tVi1Dn1W9PLQ/aqllXyaECZESMOpgDX+xoOuKL6sQY4u206URW90iFboNs1u5xREL2DGsBJpBv
/US/a6MIy579rjhaHQeXYcuJzrjpAFxYyXXs22ftTyxzbZ6vueOSIN4kDRlIX8bIRQs0+HWLmHSs
Twn7wmOMLfgtk2uTGduAfAhC4ONQUS5bdqnLD7zdZWgHTgJ5vzC2DrL3Wx8vwAeoOPsUG555TqaA
zJbeUbdR7fd3YEaqOzcyZiheNtWTaH3cyVRU41pbtWuVxZq9uJ++K6+1BhNG75+wKhth9F2dceI6
z3It2VYfz2HgFf++eNcMk/ir/nPNQGoJf/6/KJ2//fF/P9Ul//1H+M7/d2ssgZqdfcq/l3bcDVX2
8fnPK6w/P+Qf+yvf+wOKADJ6dB2SBnll8PyZtYwcXrrwqKTnAOAxA/Trf4UtE8NsWT4iC+mi+xD/
pOkI/nAdYZl8oMv6yjPFf0dDD7b3X6opyC0+2hBhi0A4Lv/9XdOxgrk9WLnVgXNMHdE/DvgGmDrH
0o7uSLlQ56k1dVhgh4UMjHPWLSt6RNJNz4FJIuDA4u5FVtr9FXQm4zDHN/Y+m4hQTNl8NvIKLatj
eJsO/xRu6TTmvFs+vMEB45mGNvcuo4jybCCvCifELxufHfWmC9hDaeRxNNUvonZ+gdLa2qNbXuWq
aQ+COQzQKpM4hLYZfJY8ZKalFP3PhZsaiOmQvV/Zi1PdcHYttxUbi5+c0MBVpOd96lSs0cTOdNug
w90Lx0Db38CUfWE4yWTRGJuto4cU4kiU/3DLoSCkiK8aQQmgXkxX5KZpY0Vv65itlppORrXqc0nE
DUmNuyeGDLc+cVlXmYUqeerkfDsYUh7qxMXWrNS6EMxBTdwlMNaORr6etjEKD7JgaTS9StAX9Zl4
1pSnwCMwuWY2x11CWJ6IxvpAgtmdcKrxuQ/M+Kst0u4t9Sbnnp0JR5e57gsk+66Zueeu9CIiXLNS
nAKhGbmM7R1dmvVo47s7MYsezn0ZpddjIquXKZpNrFcmYhHFsIq3xrZr2+xjPXUoeCS7gja1LLyX
kz8+OkFWXrjyviKHaQ3Oo2GrBq9987AZbg1HNz+9JfqtCW0kxC2YXxPRHPPEvRpQgdAlWdY9Qz5I
m9Tzd5k/BW+ONzfXlm6cs42z8DQMS/HLIfYTgiG1ElPjxL1oUkQu8GKkQt8euD8bd2gPOPDwRs6k
PecJQKXSdKLLBPD96BfQe3pLWmAoDCbh2v+KOk7XNzvjK5tWEDwquG9XhUtQ1YLaz92IbGh2S6zJ
/sNZWTF3pp68A8LHPjBZ1CEwFv0slsIC2onjN3ZqPOdq0ZdCU4fF5mhiNGzHMMZ0tyVXZAoHi18Q
KQMiWNXsHTHFqBSPJsUaeV0j3lDD+z1Mjrz0yG13rWiDvde385bucj71tEYXL/CfCbZpQxwa/T5N
fblXuvOfgtwY901RYkpLDOpDlQL6dj2UHFEeW7us86gW0EHul8ogiFIPgHM0GhdvqM2ds6RkdUPk
uCm9WiPmWieGmVmygmTNgyOytCugmXJpbiJJ/rSbya2LKHGljR8WRpMNNpkui7Z61CAqRf3pJmyF
ITqdY3fGVT+Y+T1T5XRPQ8q8XAE9wnS9xxrsMcFNK9oVU77n6cxsITarEclIOz14VfPueOVnxUzL
XdQ1W86fDII99my5PDZG5+w7q4w4fNbPWHaSyaM1FdsGb6VyHqgLNf1+14ctgIvHOEj7jT0BJ41S
hFxzCsjcrS9disiWcqPaWoNnPNDFDa9JPVHpWfmCz9kzb31kUdtaV9bZzMDDYIl1dig3/S/U7dHe
qz37phtsHibTt3YRKSaPiBh4VWdc344O5q3CDQcnrF72vI+rnbQ00cvZ0syvBIbLE8pcRla5Unv2
+vXVDOZsZRuqw1hn+pTXLuBBSynvpJZ4OURDtNyx1nH3FCtqE9l4h3WkkZl1/LY16dFbl0SRjQXR
/pAHLR6/iIVlowfnIAaocRtUA59NRsI3/7rWoJ+wxpdmP4Ndr6NXYJjLdqzz5roPpvHKbOfqCiit
PMKsqj5hWPa4lIWJOSc3H3jI2b6myTq2ZpSJG1JM9rOX1j41KHyjXV7NA7HuTgLckrQauUvQ1u+z
MSvWkWT8aw7KZ3tq212j04NRWAjPcnUsnNoPuTDcN6LP7wc1XTRm9ijKtgl5MltWY/SYi/SyN/Ky
Fmz1MkM31/f7us5kGHVFAPxotTnbXaKAAww8/712UfZDXunpAO6UX+xyc8DOgRgensW4yQL/esjo
OnFrkOBiO+dsqdE4BPKxWsb57Nbc3diGnP4R3nSKdmr6lUs7P051bIURPLGkSu8pgJ0QBdW8X6i9
tqliEd+zszoQJNkcbJcT3EUDic0Lcyw5nOMXzNv7ZPSf6Q56SDZ8AuDljX5rMo4NFr1l5h5Hj7Uk
/Um0NYnmVEXUHXpa3tUSpn+AkHIfTA8SP58dG894jMYYGRenfpE+2bZ/ESWiYQPaMnIBtOm9YW7c
IjLAhqjkujPM7Ar6lnNiqdJuI37yV5c+413Z2RSmrcxP3BLHqo+aR9JDu4NmLYA9YBzJoy2TqnmD
KBWfWxxtt36pGYcaWAXKwAEtSaoP1yABiUVeVvS8XhD6iwoelEd8BaTUnYcMaxDjJWLoOkzZcrHK
+KbuEsE1W1QgSaoe2l6bknUcZRyqs0Wy1gqYn2x1bcNSQtGNFj7p4e6u868iO+BCB8KNzqHZwFHN
Q2vpTx3MvnmWzbVwcGjzr75AdQfuHhYFr2KhRPdok/B93cgvf7an36mvIxgWwOQniv6zC2qX3fCU
9rh+6qn/WLiGvrLFlLjfzQI8eIK5V9Macr3B6XuCuQsVFLmQEQY6L8V2KtL2Xo9mH+rG7W7Yf+Ds
61cAdQq094WjJwvbJpoPqq1IJhd6OpgCOwv5hzIcgHkzlEy8RyNPZjAueikPpClEdLuJemrAk82q
lbfScIdmA5n5BY/Wsm2wPXCaNl9FM89PTQlxxYA1ux+cgtvbtsvgXjr1y+yPDBlGxo1VcunTbg8J
iemdPbxZfffcLSUImSq371GC1vsqqPSeay+4qaKSqYc2C/8tc0mTqikrMH79zBLnQEYFAiISjxgB
T/00hBP4nBhxShmXPFnAzWI4G4XKdnXmEtVmtkc89ncAth5yM/nJhcZsZvylXOeA99q9wJ9vkaU6
wdbLsPu46Ci5d6nCogTwnueHmbfom0Y5Jgui0glt7bSXyE32hYuCPpxmX4VB4gwX4BfLxm9aqA+G
ypowYxbwxPErr/WiIOr2o+HsKOGJB7OoOp3kYtZ5eoaza4TpONlHfOPmPVWcfqyzYtk7bKDuLAlm
qMx+oWfgvpmdAZWL2W/bYrjxCC65MhJIa8p1gVUooUKzAe8aEYIcWrY1H22CZ7ek6Hxk2msIyiiK
60lqrmgmlOhtamZVihVhvSTutZqICKX8bq+kP4oj2buY06PsXBpz+z7AcH4hjFCGggkMtkdtMBti
oPbQtbK5DSJGEFNWf8iCjGQ3QFqFrjRCpOOdULbgemr7t9brPmC+IUIRAIx12R485KBXROwar25a
yreqnIxd2ibGc+V0YekhHeXXkTIz4aX7goZc7qgoETZrTWByVpkujLFOXTEqR4zWtihfRu8Id9Dj
RS3jaxLMYHNILinocaHdV8MrXpX2Gqp4905CrBXmLtpshDqtwcGz5j1NOWkZUdvx3kGoAoI+2kJH
M/aeD8VsYXxxaMYheq500t4DrpJhm0Bvs7vGvpBK15yowaaHWhQVrt8OwD5gxRVdqR+EUaIVT/sC
tZLlH9rUq34HTRMdmCc7W9lSQTd+5lxjj8bTt47BPgAik5A3Lhkg+UkKpLY6fYxjqjzkJW36Qhgk
V0bRqFAMUXyxCtM8xHZpXthL8VyPsc06WalThAvriGA4/lE5C8E+yB1DuPrlL6cdgoshG/dFWxae
/B6XrmcP6h2qUvyQt1nxiItRXE1IurjyrHTkpRfeFl8u+1wL9qdS6+VaJfcqc/ZL5yYUbAoyOkKX
o6Hm6eKT+IiJs60ujgLtjyHS3y1R9IWCvAN+wep2XxWa0m22o32+ePLdmjv7jPvUfmA9rXZzb7Xn
WGUe9aeHbbh33R+0rO1uwWj21fTQVAMawFOiZX2LMS+9jBZ6OYLDKMidqr2q7cDk1nCC/Vy10tqK
9C7H3bIjIMHcSYBaV6lhod8gBekiENyUiJJW5JKC+9aXV3IBW7dpRHBC7Whfu1OX/+YHbXdR0Phn
InuItC56wmsgg/x2o+VnXyI9l2hMts3EXsbqoFzwVRCXjDHnZ1FF5yiJL8TTUjlawY1odB56El4D
/PT0FcaODqeleK/luCAqyfybBklW6S7ZnohgEueFms5rk0/aRvXVTs2BULeAKRrerahLgrDBA/eS
MD+y4VujBEt45hABMMGDPMHKaegsWK41tgQhqueYAh4Pmjm+xMguWB2bj5mOo70T7eUUHay8za+i
crzPJnRs8cThoinJTXOPfFxf1pngHgM8xkA932aO+uTtOWNPL7PLAJUmdHUH07wnWWcKPOfQLRbL
09xceSl4IayCFOK+y+COFAn2LPMSc37uCswma22Q7uvWAOvRGGJHnxcdZVYWYe6k3f3YFCnyMdUe
RxUsO8PNyiM3RXZljZDoW0SHtwOqTtQ4PswPl20+bpfVmmfGV+k8QO8hc4O4nzwjWhVFq8IWH4hX
ISieUP44bQH7BUx7vK0bhr8Uvsekvs6lJH0tHqfrkqMQOqsxs9Rzs+q9jAQPj51Y0c8uYke7iRIf
D4iZtLO5Ncfsvuws42FmmdeXp85hkitB5cIl5hdPTlteXbI+s35wA3bAMKDGLEnHN57lrWTzbWHp
IG/qbbCX6EVYA4Kqkb5l06fkEGzKatYnIuasA+lX/QGQnffQVXN+pXtvOLm6dh/s2XEOwyi6n16X
gbiEj5++13XQ/5zZE21U0/Aw4l098tIE56i16lPPN8mOfNKbkRXANq1VH/IJHFZa5vQyDmn52LeT
c8l9ARUEn/Cy8czu1uZ3eo/3jW8GxthLLKavpsgIVk+XdW0yWrfa4v+AsgM1sO2RuYGLzV9VrA25
ba1d6RBQQPVRorg0rsmmI4YQjN/ep7DYBFZrbAp4WEChcLVRppPpcWEo7T/6xWzs8FrDYUPYeGOW
5k50C6GgscuJNWJZA1yZE8VGfg7OxqfZyz+6ZrpZdGqgxkh/5bmTnfy2uynHzt6amuUzW5hXRfMD
AAkIqsUyLtA/alKFrtIsSe7/R+ae/w+FQnOROP9xovnwkX2oPvmo/mWo+Y+P+nOoKf8QPvwPDIP2
v8jyveAPLGK+wEuBV/sfyJC/ZprmH9jaAuSqnnCYhq40kb9k+fYfgAchirq2bbLTdd3/zlBTeuJv
Q01LwEswwZJgirOxxf1tRQwwdDYqo1d7zCMlyqNozUwQhUu1p4LaO4Hrh42hZhjkh+A7baEl/r0K
yzWEQXVEs29KEcuzGHN7P9mzfe2xm0q3dDokOPhT1yzb5TvZIRtKMVwH5D0M38kPeetP/QGMKZO4
cQQjG8cuWTmohqKboZvAi6dl5Z3YETYdlqmybA6ezvL3JZ3nieJwBvFGEiwVICGfo9qaVRRf43Ty
Pu22HXbQxKbDPAYSDZK13LTAEHcw0HI4TXm9a9ohf2DF1P4cEUoDaJzJxDCLyPss8756E2AdOmal
A0Lq0oUxt48dIjVG08dtDCKE9Gtgtmx4Jx/rrj+W8yMYhOEALAzVGPL44Z29FstGSK3vMGPmaTNB
DyNtT3Um+TFWxuL2O+0jFwLgePGdArJ6gAqUsIBkkdSwQtrEld3ccvC2HCjWELw336kiJNziZ06/
00amvB3QgTtoTD3HWiX5FrkH/ZSwn3ECnnOl7KLnk645JgbAKFa8o1bY0iv0GyckHJCX17pyGHqG
DqLvFT8A5xWb0Lkr921WZZ92P+TXS+Y0d8znnF+JZc3PYKZAnZPDQtTKNLfVVQMtFpFdM827qJia
l1JVRPssa0IL211c5ZVuwcWaYAdeku84F1IIoX4tQbpGjzmY9bw4a3d8B/PLOPXFHQqv5D63VNbt
I1J+jklKaoy95sdkiOBcC5wGAz4U4QMhM3LNm2HsNCJItSbL2NrfkTSDkWhxNBySalzMdCUOtDXA
xvLhPCK0NCt+Z6R5bBgIAzhsR9KkIjgVzYbikMidhksjIhQMy+I2+I7MQci9bFHqzO+Z18trtvE4
CNLvpJ3xO3UnCbSIKIU8BPRWl1b2YfpHNM9Ez73rvyN7zNoYiXAOhmv6MbFOcORznim6gZxih/Nf
leU2GMvlLvqOAprjtt6ACrWP6ZoUZMEEO88jcU2HQlVE0ViWrN4rMaDS99eoIavuvJ9Nb/ohiB6i
iJi/9VdppD0CZmfCqzp47DuyrLz3IM6w1GMwhzJXD+AiyBAdAiKpGkEyWCu6k7RnmC8MHbCQ1WTF
ILo0yEqiz48fwDgjT2rRhb6ZgC5fM/iTn94onbM/jZDhzTWAKVujmLCFvA4jmMNtbdNR4FdzPnwX
4vZtTDamx4wK0+UmmIl4aisE4mE+DM5VN2JO25CiGGV7WpThza0T9ZlkMT1l8Z0d1XEOZHuRL2iZ
ci20u4k9k68cmSPhQZFHfXtuv/OoyFZBTI+jFD/+7AUNUij3O78qx7m6hpZP2BlmxwqRKpB2FUgL
4CcB2jzm1DkaDzs8dZDAvGE/asdIoQwDNjmCjCh+MfOx9tkarFXxhNNDwxL7CU2xvvh+4x5mEyNB
EgwItMUa09VBNbyV39ld0FLT7hJTav4wlsomf9lZw6Tr4Bq2TfzMOwoSX0nkdPSdDMZlot/zQReX
NpYkh3UmaySWOLE4IByrUFD548+sc+YD6JF2q9cIsuo7jWzIrIH2pV9TyuLCWx45bFx21JgaP2Rm
yAsYX8LNPOoH/D5N/gYdhvWS7OGLENRXGq+tSToamTImM3jm+2ThoOXFndBiAuL5vjbxUP7q7Tag
uf4OXiMQOZcvzncg22Cu4WwszrR/cL5D28h6MBXBcIstbro1181fE97kd9ibNYEHxiGZh853GJz6
zoUjIC7uSYqz18y4XjTDR7HmyA1ropxYs+WAxhmPDsdZuZ2g7Y1rHJSP3ygoxG7Qy/jhBjNmonTN
rGMjIMi4IoqHjUdPpt2aboefiZ2GBZ55ZzV2XR27qHfSR9MpZ5d/G6UvTBsWczMkstgHXPenfBYw
mWBbUn8CVbJ+Mcf0b8mmtX8YxljeCZbye7udh5cinmV6V6J95kAR1HQb5IbVj2xN84MSPNvbYc34
8/C9bMmsqOUOoD/TcZgTk/8UG2QDEiclytAty/aH2zlreKDCOLONshjBA9uZnmj3yGVHUPvlDqwy
AH13xP7NeiC6G74DCv0UqHaISotTy1kzDJVHmiHyqggyL02RKANEemvqYR7481kYQhzjYUxYdq+0
fgt1T7MmJkZ5P7zjblh5RuWaXowOmrZ/fQ6NjSz8ir6/s29JlnoYiKANba99rWMykckdRT2S9aBp
Uzc6Y25Dr0Be5K85ycxTTMwT3EZgxv3YaNwlKfmQtK9R63+RavzZxw7kkbSowz6KS4bRjKwzLIOz
89rnNFy7uiHzDHSKCtSGbehkn1DJMetl5JU1p8mJmO25BtqHrY3DheVToe0WMmQxLPu5k3ik50T+
quu2hhBv9dZL0khjQcrVp+5xIs1pviy8fX5Fnkfo8jSuIKyE0La1lcO81GeskFCTHQnUNHYCHhjv
FUbPw4w50OeBUGFh4zGuQVLtkizzH3IkLHt3xOEVAVz8WcpU/JZp1L8X0lbhvGj1abQ2HJPFc2As
IWHDGuRG3sVns4JZYapgfpIAQvpFh0HuWme1YTw7hDG3QBLHtN5KPHJVKFqs25eWaEvUarxhcKw1
iCx2cdTb1m7s4vnUpIZ9aS0WyWQp2WBsamuw3zDl5dkpWGz1JVv0pKVXYCF0ZFOcypJYgC0nwgha
djbl7bIQo0cgSRfcTEsTXJu90Jq14pB8lo2yAXV3BmqaMek/G4EZbUOmhP5hkomZhURo28GW7S/w
3yGOCHSkmcJ70ZvkLKNoKxbIJ26EGp1X+cbqpCDBMwfzAGnWu8pLUkQbgf1/QzC9eqGIwtmTB5b4
qVrdvQ11n1wVpSuTsBISgiaX0nyJERpyk7CPN7a+5Ub4mjCD3w4+hMUN8Ik+bFCpLaGV9x1OSXwR
sEktCYKXw46Yxm69/WjQiQedTb4efKnlhlzvVGzhMABuQSh0PwVL/WIDpPC3rkzrkyTb+y2b2iE7
QnJs70c036DzY9Hp3ZDyKa/ZD+n0Fp5yfDNnitRfG6LWB+uB9l40pfcQqQ6lWiS8ng3IuDDKR5XH
+4QkAn5muxjM/aiysGP+EaIvS6eNQWF678budB4iXp5tlFgLrplkcV8wuxO9HNcJGYapicFsJxNH
lq+xm9VfoisFIWa95riICcTpdmT+LAS5Dn3xQaEQPegRD/y1JC3U3NRtj+uKjoM1Sl6mPiG/bcZo
hQNaE/KeJf1LHjkWCy/u6Nuh1tG5GkbSYUht/yoH13qY8jFRodUExX2yzJioWjN4EePsHsQYBF+D
PZrP2pDTWbqu8a7NCEAm4qzlfqqz4Z3zl3LBaXvhbJELZkQMOoQgTOQbnEwiq1/rVINAH7hjXpGf
EDwPlRiKcVyYWX6omcfD4gxsHAoxHJ2CStlk72Oyd5MblaIsPrJvKK88fwRKXY+JfSIbxyv2rcng
i5EEtxtBk0mrDxFLsvRqAaB1dgdHt6fBscAapRnuvBBwYPB7ZKfwU3UMJregPSuxU/RSL06mUTZ6
yTR31sFM6tTA/tMlzlVKxh1hqriCs70LPhX3FhOLwPioO+UfNdmSa5jEUrjZKamIUQBIONLuhIhs
avnGmsCSDy4OJdbyvNMIg8lny8UeEA0fLiGYSpO5sp96kjL7GRZeLJzagK/meLgbPcEbczFkeQ3+
GXPcYDujfVmIHXQ3du3LDRKcJ4Jb2uUK4zGZKwE1wR0a9lVRvrqwxHXhsGs/JGz1ix2cfSSIGNI9
ewtZYqRTKSq3Yw1WJW3b3iRLTXnU1CnxM8JqSueCF6mKrlxLjcmtnPzBu/XSKJqOmWJNMI9udd/7
hEldS5eaBC6uSaZygD3K3iv8LOmJlWJKhGvcdOURTyNrfvLPtfpRLiCqQT5AOWv04EY/IE1XJDPO
MeavuOjtKOb3PgkAWqMiDhQvTJtuLaFTdkuxFuYP2xtVjxC3mwZiIpo1ts7VwTXXdzsdc2kNV44u
LRJqXUVcgilwxsSMZikDvfkxqfqyPOnUy8x9wgBeYgYa4uymdvzJ3zLzrvtdnwu1J8RhNMI+nryD
xkITEUSDJmbfZJK7K6giLBJVO2g4i+QKmciEao/EasPwCvU+55TbTTvr8qYgxMwnYTFxSX7wgM81
V5VZ6eAYgQ/Xmx5gTfLCJeWpkzP3FWWOOU3X7HVgE5JIosbyOfHAb3yirh3r+xgsW1h5zepNaKOU
1k554x3S1OA9o7gjiVWjAggVPw6RBV2ql6MVs5nBMsaGAAKN6zvsCfx+74uuJexFdsY5LfP3AMIG
FTk2+rskb7gTnaj5YdgzA2McuXcZZP8MXvlAFm2OCRrRdSE2iz0Sczp7CEvTCIyN6EuuqSoxot8I
bgyB1wVSCcr9ieyXvkj0Tx13tn1SeIooWM0R3Ho7Do+DRRjm4MX2mhCDJmnER+ZsJqd4ANjB2VQR
6n2OZ55YqpYIpUkkYWZvYyMeP5UvsTigSAP1iG+G9AKgeDgTU9VBnFejjl9UbMf8PuS6EynSmGGi
ZxfiBoHYGId8NJ4l5EqmEbZZjUe8XiFjW4a+82GOwYy3HP3ggVs8bmDp6ZjyrIEaYXjViTRFY1t4
fnQNfk+tMXHLSi+JXfI7lhK7tVvE9gO7YgdKKnChjM3q8mlbvBze5HVn3pf9E698cHSCGC9zjyK0
3k2LOjVmNX/EyoxftE7xW7Zxnx2szBJXo235ROEEGnWbtIr3mJzZBuFwKc2tX1tmGU6j25BQQMB9
cQmGAbHOYjPtB26WzC9tnAdnyXKSeJyczTFpmNHUMv/vgxBorNeGvZsmxLel5DyF0wC0KAQR5O3+
R+aW/1avuQpDf/6VqYgQ9E+haPjRf/zLH3bfiKz74avTD1/gjvq/EFPrv/yv/uX/+vovgrZWNAhY
qn+vxnzqVqrx3zFbf37Yn0QR8YdtCw9JgER86fwzVMT6A4wHUkgPq4TlWxJyyF+YLecPFwCXG3h8
CKAt8U9QEWDIxC867LdWyZJpyv/O9NLx/k4V4YrwHNZfgEoAdwXm+vf/RBVpqtyA0G0NR9yiGs83
nkjs08dyLMlJDuY36WFcGmfgt67K9WGp+69ZiNdMyjf2/eZD1K7NUTv96pEEbPK+XD2pHgmnBtvE
uW+rx7wx1dkfyXBAi16FUDvVZmmze4+lCtCKMTli60HVHjcXv8nJ7Up1gkvJfavxiaAV0A817rqy
QQUBaT7kcSSBMMg4+FY8amxfuNfFxq3/D3ln0hs50l7rv2LcPRskg+PibnLOVGZqKI21ISSVijMZ
jOD86/2wv7JvdQP3M7wxbHjT6EZrSOVAvnHec55jNN+TGuPGgvY4YIr3SNMCplxxZvpOB/bBmOuz
KrLl2jVwXSm9+A6gRMgm2jW2ZjNhgQJniEMDh3abOfNJGtI7J9wbxpX0HQweNC0/RyEx4zR/h+75
mpPxRm1kYrsYvkN97ThGmxZa5zrpJuKdttM9lBPXVJU7Z+lZ49HO3W430yqAZS9kjm+sFEuO303I
m5lrdT+RKK/LJLG1lPDvEb3NNTrLNqEgfD9pt4Tt1VQXnyvbGs9AhFAbEwMhAXJKNIhZttg2ulLo
H3PUT6qhY++j9abviis/kwLmfTkg9Nphwb+hjH50XmhcIq83j+FAGi5th2zDCORc5lx1kKjrr8xq
hz15RP9WmVm4G2Ka2FBCbHzwNXR/IDHbPKm61RAiezS4ZR4CgjBstWnKzcfmliB4/irq6ZXzToKc
wJCil+BEqc2zs0QpZO0km3mJV9Be+DOtgvzg1+H3cIlgeD1fPpOgS3aDhWGxJ6tRL6ENvqo4mFIl
N6lfUDvnPfpLxCNYwh5lPKaPOmLpyF6K8A/aziVb4iHDEhSBoEMfXB6K7bDESFryJL7Ioq0PFuDS
Zc0L79fwa1ziJwu8GohAjQ9hCaf0UpPMix4TUitePYKfnvVztgRa+iXaAkPDWY2kXYpqNA9Zqx+s
JQiTL5EYLxN6V3KCejaXE7zrBQ/9FD7OY3aHx5T3LJ/3NVxQCNk948mCEg7346gXbo6wG/yRM1yr
KkoXG+Wk5N1iX91arkGLMcjg21DbxRYI20Dk0ZI4Bjt1G7e6P0VYOQ9xzmxSJAmXs1Dv51ZeOjOj
zigoWLO7ZEYfWN0He1tiLzFc/WzFevxWhiVpYchHBwq5qGp0vCeSD/Y+T/vyucg4tfNS9dvBnbCV
EpKD+9wZ0Rs24H4b5XZzRmqOT/M0wKuOet9h2kbZ33SR+kJhoKSABBJubKJwXumM98jRrK1HJ4fH
04l1qz0OCYG4NWmP2TDosFkMh/R+sNgATtCBb81sLhfcD9t25q+0nfGkDn4NJWdpo5azdY/AMgLg
ZkNIIKXetSbsCVNH4AM8PDt5OwQ9dE+oC3biVgzVBU1MOIQ8zARG9zLp0Hvq4s4/NMEUvRSmj9GY
7QVKgwkl3fGTY+Y3002DBvsUppJIfY2yjHAy2w/FbBlXfCkcuMMie8Fl/YLUjHvQm1axjquD1OOd
bHv7i+LP/iEdvGFjpBqrGHVENLWM9XwKcF35rG4+CKoNXz0S660vxXCiFHM44LpBZIokyU+/yAHf
xS+BU8iroQLAnSVlWt6qjcHChFUJ3X1C/giMBsU7svnkpiIDvJuzXekT/4bzW3Y3zJE8R1ab3SYm
mXtk6jNia78vnZYSPrPr0IJKKBzNRAJ6YgXTpRYyCGLkus/m7KkPeRjFMM0PUTLfjy5oOjvAXwYT
Lj3KrLvnPkRovI6anWu68Qcma4bZwniMx8bczoITVG1X7S2tWe4mCGbs+lUAeNVO2Ugl+UOD+fne
zUxsEPTUr5S1VG75/hKSCyIArBbhJgMu5dFwjW7TGo3LQSIo96bK1ZkOC4A6ZeOvohI2OD4ArsKp
+2VZmCFCjwwbPb+s573P1A4m1EAgFlB0UNXwUm3znkghlhhqGqFSwkzNGcar6Nl0au6Ky2Ng2ydo
uB3CNRYM+yXo+TQXru0hDc1wbfPEzqAruo5GWoiHDyNGvUanHtSjLYOfWBYWszZXX4twY7KUSga3
vQionmUlaGwyvPAP9sD2AA+7gfaWPWDqWKg/XvZMQ5WHjxscVjgnz6z79sznxQZJUlVrzwjfAO7M
uyaUP+qRN5Sni8e+oVSYasFhUxXmlaooIqLA4rnbZU+6VTZJcyPEjM8rHeRTtBM90aqg5NLThtUP
oDwfRJS+974d8aTOAmcxAhdNJmzUoJKlpzGK79KEJXpgxpQiCvsewxb6IWnQNT5AqnA7OFAEsyg+
y3xx0H2uHhnq281M8QGGsBaBmg5C0+AqxDFsE1Fs5bXux1TBFXHcH8BfqBZqLYArwv3xXzvJ/j7I
/k8qB2dG9Qj+/JNZ971Mi3+5vv/ofl/U//q2f8y6gfkHHRzswG2aWpdhl7H1V/rI+4MYEXw+0tTB
rx3+r1nXArkXEqwm6UHJBzwG9uu/NvXBHwSGbL7LAbxHdok007/N+3+JkP2/SNnvTPe/Rrl9xw+Z
o0P+wdCNecj+26SrKM/rvJF6LlQM+FAwUHNGxtKhmUAhmBptfnIQOw6dBvb22zP166H8/qu9BRBI
WGLiJnb88X//jw/JwfSZ5/FCBAJfgrfQbn8bs0eDe+fAqXLLJW8+RK0Xr8FMTJCF9Lhashis6DLQ
Hegz+06a6bnl7PeJshBvQzkyfFBjoDEqz/N4BfsPE38e3RsWWiObyFScGsVRN1UaGGmqMf6pqYfx
Qbx8olKLImMl/XtUZhfOBvr4umFgEizy1iDs+IH+XMvVjMJ169RYCAGH6QtKbQ5XPCeY4Lbzbmm4
pNOCur+rT3vrI5ZapDpZUmigJuQpO9DGoz87RIrAzd4OImaH5wvngsWODTGHjKcsbTAt+REHi2yc
V0nhdXtO0O5NyEpsvzSQHWewu0uWyFhIaH5i5AeKLOyz78LQ2ygj7Yg/UeElbhpkS3qSfBHt4xTJ
lmQCNb8osMF38iOAd3KmmQc2lbFcaxxRDP0Gz5oW02HqM31uyTKwjGiS8p6gVf9F7bX5xuJQswRw
jWpamyhvFOnZw/A6xHGSEwUdym+V0C/End0t91GcSHZ7E1TOTUj31yHOlD70KqDOqDG+e50ZXszO
GT0qrwj0Fp3uAEnkGd1IDIMjYLVyBCTELpQXKwctFUDyKRIv39uUaMKOaIL6XOGuOZLb4nrYJwPX
yDrbs1iKN6li2aI1hoy54+XWVm6+F5Vnbkm06Ihm43Lc57DAoNIOZ8wk8S6XSl6EgUZr+/BdXHrg
Vr6hA6Y7XNIhnxwXzl5nnad0SCR+g9Jfq2yI5A4rGi+/KmcqjqVzjP1gXBFwCnfggueN13b6hWRr
8ELBiHmRGeiBMXZvAouorF7e522cFmtEaOcioBc89pTo0qfQtRuIQnoroNmzjwsla+eGijNeQf3o
k3kKV66r8m9BrENr05MrtOr1FBrY2mn7tjqSbenwPQs6Ye0kJ2yTp9isQOpquuu2iTW4+c6Z55Id
4WA7/a5M0/kaVL74qJyofTBFhejmZ22xnyrM1gO55a+ZBcI3f9Dh0+LhILySdMb3LLXHc9qVzqPI
PdPajPUIwNJJqJffVmPP4SDqoQjvLMPg3hW6WbYeKMolo5s3MRa6nBu+nEbunj0+w3OmLGV9DwLN
Wdp3p3XoWgHlrbOXfehRFXdDmWEKjbviUXMwPVR1c9QVi7OgGH7Oi7hcqnGgjFGIn+wo5Y901Nlh
it30wlkqOcJjIJAAJLHi6RQ9aS5q5E03RUHqRqt9gg8UfmaRiI5G7WFncVG8Kj0MdB/q0j3kZpM1
m5Qs0GWmVXE7iUq9iKjAj9kNFl712X2P5r7adUOd/lxkjy0u3uqhMvoAn3BovZfx7N1Z3dztoyTi
KRwD/cTaot4XPQe+doxLGFhu81xnQjz59O8cE9gwK4liFW3cfOn97bp82EsN+IBWvWLUawALlvpk
ZV3FN4lQNIKUWRE48OHSetjC2Yle1RztI5T/n3CDPP/gTGY3by0qlueDPRgz5MM0m7Y1CP1gSliw
hQi4AXgwhTUzNhtUdndEMdCWAcdshDP8zjttnFZVRIp6zdkkNRnQuRpTMImtNyHHlO18OSBoCNGV
9KU1fnhu5VSeZjFZCM5OjiofGHZwRCKxvrsMpyyQ5/7YcJJ40YKWn01m9APzXTWkxpZ8Dx+bPjWi
dyRiDAER6aibGNDpc5dV5K8jRPQIUTOf7y1s2XgcRMJRK07H9yob5bUliWSfkhLieG9Mb9NgVATb
Y54Y2guMb1Un5BcxtZ6QF50vg2/33Za5fqFy91NLUG8qq1fe/GThSA3hNmW/F4p9HrUMdh3pfnPV
DL1HxsdvWrAJbcM5yxmk9TZCwlu2ZLm1K2lCAvvZNe0b5AjtbP1cOi+lI83XBjoePRyz/Zl2LXBR
Zw43YTurHSqFvh0wlPzQYq6v5MHCjCBTSxWNRapzXhdzVO+nmDXFmi9LbzBMsDmOpS8eiaV5bOEc
PvSrmqMKexzFAyjzGchqmcws1yHCU4IQ51lpQFvPJYnLzuF6keD6LPZ1PtGGEsVuV65tj9z7LmCd
Z+zJKQbGyl7uOwEpvmduPRHULvbN3boee/mUc+S8yXHS7njJyCRmQbtz8mI8k7LhhocVJFyZjd+e
aLjnJFEkwmjXZV1WdyjQ3ZrDgHlGAfPJYtF6qCnITrCu+uI2w4N7RZkm70lVyrmcFLs6do03TOnD
PslZcK6wIdL5RVxsAYJLkTwYVmh57LZnbazIjJjLBx39bWac33IMDH4Afed9201pyEErD/VPNf25
bSYsQ+SL0irEaSahkCXvK/ZbZxNAEbk38novWm+8SwYLPBZA8Gerdf+E0vjrSJm4waA+svKrSned
+KE66yRObrWv+djanuE8FXSIf6Li5HxmUgWxwQT6sSJqZFJWzwZrJRyXk8KcnOkJhIXYc0PuGupz
zVoyQdjJI0DX4drPkm9OEIyuNrwEXHSFuDow4uixIs34MLatuWL/DewggmoJfnTV1ywcWPusjHrG
8h96u9SMqw0D7KfTG+4Gxf42n2KUqKVC18kkv49v9HZ9VFJARfPLHvipDSxeJjuHk/fi16mCuyGp
sR572qIeNbchh7KokMA6MYa/cpfDAl7zpmIOYhD6WdLXep20BIAXpBTFe3aGRkAvs0NNU88DOtpJ
SXzAzh0KtnSnvnDZgOFwgrT97IJETTv6otAseyXlgUyOeQZT2lOMGUAnW2elTxl5wf5O44suo+G4
5On50WTIUWU4KGHmmZobPbXzQk5zdMDI53I/lF3avbTkhV6I3BeoXwEbrWVUQTfwOgxxQK0dsK+N
6X3OVMLdO1TZPlscJuN106f5KQ6ERKexmb62Spv1UxOXetxaQ8/nqaSp5a7Rcr7CNukPqvKdfyxG
TPqgbkXsBa+0FSkTikeHEyUPkLOO0Zg6GL1Lj0fScwGX68V2lELRJwsX5iRhdv1sQ7QWQzZ9c4Xr
4pnRI5vqaspMl16cWp07I0z0lsEcREpWyp+tH/NrsOiN/fK6YPWKNH3sa+AJXMSIXLkanv1QDLdV
6UCsUtiEqnXBUnXeOrEx0TFsjkG1yeLFcC6nmScIHlFKBoGB2N25U2J/62lsM06UX8XmNuttuz+F
XtMHO4uE7zWoi/DU9X4RMPaYIxOwR2WENTn5SRI51ExrdvAo54G+lsT0WKuHWX+yHLS50gI9OHPR
ybmk5/4Thti+usG1TrLWTIdmYAeNzXlDhIVWKYzIQJyqwnhH6kkhxBkz/gHfZIzaDnalU2xBge4R
wjwkal6TUJ2SKULbKvrsmVK7Pj3PSesFR7cd4mNRowCTQDC+TCuL2Etb2JhN7ipH1GouxXWQZK84
EaEQsh1sX3i15QVOGHSUuRTt0eVifoh0Yd/MDlbg0I3ac0mojdR4tGyq+NO3AFjCDi+hM0I2cotk
A7460quM8ajbUJXuPramjfnwPziPWX8HUXDKZNXh+UJwUrUch5Pv78cxfJ5tV6ROu40o58BKFH9U
afWNfemrCMtvtltxY/XJ0TBkftfkLe//+Xlw6Yr8y2mQX++xugEaAJ3CNJf//9tpMI+0TbmC0W4R
Nxs0FFmdefKLm3/+W/480f7914T2cuI0+T3ussv6/ddMeu7tYXa6bR/jnep6YFtr3xB0KzkJ4WH0
dlkiXoVUclfcnmwwGg3dFRZ2uVdrnNzjZFTd2ZNl+5ATOr8sT9malYR9NQbyw/iu4bYvC/91x32R
/hScEtHuzz/i14Lv19n5b+iXv/3n/0oSjOVZAVLFQtf/J5rMV/Fexe/V+++SzG/f+UuWsf7AluDB
hfH4edhCECd+yTL+H7bAI4BgY5nWP9Av/ybLhH8wMZBpIM9oB4EZQJL5JctYLs2q5CdCmtXoe2FR
+Z+SZZbOoL98GjzXFZZnBz752kBQ8frXt2maB6kmCR4zgrQPHkaTQ9mOrLGYyXahUQ5fGXtDlP4w
PHQ16TdCVcCtEk8cuFNAnoMZaG573pfZquDcd68xZqCIR9WxRWVGZ8Cm5kexdxGUOh9Z+bELYKPw
QyFg7mYKPHx+pGw/dEpfxyUzYZiv1Jh6r5w5k+cWrOClqRUHvY52x2ilOjO48cc5OKYQV3E7xm5Y
HLLMpMg1HhTHF8foifEPn1S4KC5xwQ0jZf/q2WB23VraiPyWl87c43znoDwibg2XgHxdKkcdORRn
T1XpO3JdQRDEC1aMoVqBojYq1p5xeZuT46rXmWPJapMYIUurKEgrHNK++1Qps38LTcoMiN2m7VGG
WfSI8ZIYmm3mhBIxvyfXKVcDZnhj9IiPJSK9ZY3ZP6vKTfNtrlLzBice7WfDdLVw9h84Dg6ftVmW
OEgKrle60Pq2zUeD4HNVQLMsLPc5MgdxboUwHmlTMV+NukJFw7HXH6emH+57evW2SsTxj2AqeMJj
b1weeAFDLuexd5S+gD+ggL2z67NZpAg2vMzVh9dJ96gTkxGJacnmQQYhZmrBgTKHOHiL2ZbhO/en
aRPBPi04cUH4xxqc7m3mLxY6ljo6SRRsej2wOtQkwjqbPkz6XB+6kdjXkMW9tfR1M2oTIYzWaTcP
73HSZKcBUNeFN1SX0b4ZcCjwIINu48InNKjCTT9qRhcTEE84K+/gG2X6LHWNjD2yarEM5k/D8Et8
dKxBYcxSpkNDH7rfIG4T2BZboBLxwYM/d8MrCv/M0M2unHPzezPP8ylxQL3WosouU8YbVcHB+Wih
XexMMWqgHXCFoAA8Ns2wHkJVs7XokjvatQdmXSWfMF8Dbe0C5z21uukmNZWDJ0/hT2fKEb7SL6Yp
34jYTyvLZzjiZXqGz0YUpupaeuvpY06/lVCdFUtKaWNPAacDXy726VXgXE4IciRD0HSyg5rfSnZr
tp37KwnN55HPgX/RFkbLMHe96sAJIzsVOIletW8Gj9hP63xTC0sEe74oJVw7ihJUqCqmbxgWm0PO
e+pq8vShdLbkR9Cn0iPMCEnOpPacZ4q1nKtbBgLI2uKen0rit5EPF9zsC7lTQ8kUOo2R/sB4z/TR
dUH46FcWI3ObcqEg4qDYTbjedEd9IhBJ6sUgK5BDX9lzEN/JsYk5PaNdPYxBMEkOw4iwKNj9m0wz
YkipM5wms3KvZGE4kA2in/lJRUPKtrMewoWpFswNq1x2dP1jEI72U1f6cESHcfoIi7R8nGBXq4Pt
Zc4H7+/0Z+L1QuBZAJxP0MdO3i3qQFHOCGTh+U58n2xtUwFEKG1Mg1kpml1eZ81+iBvSGkvGai+7
vLrFayweeyJlp0i59re81AIEBzmUFU+Kd5ekMK83ttdYW1NhBt93tCjfzkNm3WNh9vbEINtzm8jy
M+MtzKsaCfsZpa49w00RDExzcwgEp3ALDeZaVSUuWFqjiPwjxpo3XiStAwfV+Ma1+uxsBXnOucl1
4a4ow7IeDdcbAPp7BZ6LzPKvPpaR+0DF5oNjj7bEH++J5MQ0DIWoKE0s/XJSn8NMvwxxTr32TbAl
a8LXaygSpwyLIp/5DNssyZeejIdR5/u0HBq9pVk2OQmzSA5DWF3NTLUGyBrX2Eix4AnD1jqMgVXe
e1lLnQcf3K02y3Sv+AdZ+7n6pnuEolanKC1peAvyM77kYxl85iJML0McsXa12dM2qu1vYq+0IcC4
5kc+N/ml72FrZVXUYth0/RtO97yGduydo7DBwtJliAi+rm6qaQLVAppi2Ppl+WHpooZEbaiDcCp6
MhL8L0H3knkUb/LRT45W7uEFsZONkeX9D6dOvzIt/a2njWmdFFYKVgflvBANgXan2budi2vASm9t
w/E3WN6Ne4sS78M0xxVowOhEAQ4pitobzW1bGNPrJBdZNLJidW9HjhBguQy5VY694VzxOJf+uCtd
DjZ1Il8Lc7KPhWytjafSj0XKKk4ch33q0AkIbobYQddDhht3beT0D1bvZJexNyBU5rK9KnijfuB+
70Z5QD2gZ1njoUY26NhW0woa1PbZoqiFkEMSmGz/VYgIP4Q1u1e/y25s1sNYiokHAkF3o2KfJib/
2tVOuW9EdlJ51GXryJ2aaUOoHEacFbS45FAMJTJ98V5OBT5kdhBvAnxCiJ97Si8gfvp9lViNucaX
0Tw0baH2czMEHAydgDmhH7ubks6HkpgHDcx6msVq7gzxVbZxD6O17KmmdmSbMMwYMaSooUtJo0nN
fSC1dT2uJltX9IkUmfdZ1bq79b12uE3zRK9kBYrFH7iJhWE3rfGaXqgfvOXP8rCOu1P2KLQJai0K
W3qQrWgYn+GT/Ah5u7/Nrrdh7Lm4SdDBTIajxgWxeUg9zs/ANUvx56aJP6puVjCm7HskzvkNFp1J
zLMYT5lQ4WJwwiFkDi2dqKEaLn6Qux/azqPvWBebVWwB8wxCQY14afg7JaR6qv2+OpAsgEnvA+FQ
ZXcnsyh+zl3CpiWx1Z/C9ItX7OtyZ/szm4eFDpIeChYwh6EKXepJ2UxA8MKyiQ3Gqe64Bwx7kMb9
FTPyfLIZyJ4BU+YnGCnjqWE9AoK1oTG7dFtuSL57RpAGjk0kgZZpxXPlIit+0gpoHgJMMBtBdmen
ywZ7aGm5e7BweGDyp8nLZxy76cZ3B9xQlNvZ2t34Jh2RAZgIglt42bpBfQlnYJ6reStijsV2zTGY
CzGeoIFqe8/YYO6+N0QjTpxqnSNkJfeQ0mX0TvkwyyeHkcLVJZ7ToDJ3sk3pVZ5tGpExrt97s2Gd
QS4PO8Id0aVCq1xBtIPKXFSUzEZqzXLPvsZ9dwNC/Kdl6QQjNbepEQHRc390NKk4szvlK5tR6xrm
VO5U8dDctHOc7HG84SgeuKuEyuof20i1T5ODv3ZMxx5D1Xg1Y7yhmEyAxiQAgqIeELjG4rXNQZCj
p8mQ7T8FHWshxje+qT+npT9/0EpFRBUzxs6hJP5syly88HxD9XG8rsrXUqb+TiaUvrgx7YlV6iRA
/n3/XhLwXEUsOG/wO+e3tusXCz8iujfJX55LshPAAQ1MgInM3Ts+oaiVyG/qzDmkvK9i2/2aSa+S
t42qWzHa1tXtbO/UqcL9CpMovHhdCBB8SNJvAprgjWt6cAyzpkrfDKtsL1w2i2ODjrnRjf9JKis8
+FUGctHJumvrWMGb47SQgLMKcwKtggt0SWTyAk+DzJkCeXesy1hrXD5y4upBrooK5YrKnro7hArS
jeH60wN12Hre4KA7EZmMNpURVicx5tMzUKnqdiyT1xqX8Z0ZyZzERdAchA/kfsrFXihm8IkQ785P
FxACu7TNlFhQ5HyI8ysZxfjlSBtVJhfnLvRS/DC5+2JylOFpDqgk6bjgMT/Wr8DC3O9hVeQnK654
AyvtkIjET76aY3oR8VnGyX1sswAqO484gZzHz2iiqtRLue9Fgc1vnpCLtM99fPQhcNV+8+S1PVYj
I2LKhPPNprh/UyqmWCfH6tTKowUgkK1Yf8cdlU5HUEw0rrkdzhcc2aY5yQ3HrHYVyOEzTYeO9KQs
T5laEBMI30fhWtbJH8k42Do3N2NJqm7AtReaZLlhzkBnKH4MuON+xIEUx6zmRzHCmghThfqciCrf
gDlhQ+Sk+JFskLWQNAcgL/XClpoHnj5ncG4NN2D/luTqjuBItU68Wn6YvGGuIMN7fN0wwVI7w4hl
4btMsWoeWvKV+GRMMq9xOn2LolQzL2TFe26FM38Kq/2ympNPDmM2NffK2uCVp9OKIMeTYczDA0UD
GAGbSlhvlV8b30uUr12TmvLA5unPAHQhwQuNJYeeNrDuFCF52rD0Rgek84mIhfkukBN+q3BgdcdJ
rk/XUvN6uSQRX8nfD7yzyDfUC7K7ijq2veRg6P/2a/qiCUXWa9LDP0MG/r4Nz2MV8vNlux7BiGxC
8laMp+Yp9xQ0Z7+EKjMewB49BqjQa8/q0zuC2GxQqHo76MCPd5OjqBgQdXtkfd++NWbdv2PuVdvQ
j7xnAwnsXE919AmGidvn1FUI0MoN97w8ILDK3r+IuZBnr3XKNz+IOmYj1z3WJiMtCUiw2CGtAfgl
7NQ8hLNL729lGaxXqopLPFXp4d6mkoEquZqIIHVZwS5SWfBp4o9biNfutJqKyP8eegaOOvoR8mfJ
iLSV4RReW+g6rw2k7/1EEfbBs8X47lVJyb0jp+Gr6CaS+RTC38dEUE+5O4/3htZsAOgi6deAIGw8
jv58nFEqHkLCxe/A0tK9p+i1o0UG88KsxdGfnHLr5QP7DUIl5NxgaMN1tMyNHTX1fQvhEuJS3asv
E8blo1FhYFzp3tEXzyXQPXTY9lZEsoM3bBfN3tf2zzSvwhMBKWI1JAnEXRAvhWsEIp+5cBCjMXWX
bCSYNmrBZvuksPvtjGkqXzs3Z3KdfZgAfNxBvhb1NVK9ey2UWmBTUEU3dVIN5YrGHn2X+628ZbjO
4J/EEDtVZnOpabiJPmBzVCFERrc4Sq8M9rAh1LdMMsMCOM/LQ2mHzgZIS3C2Y4tlQUEtg0d58qpe
8nuTzmMyWtgkIhWR1wnnPjsOlYeDWw/zqWQ8OzXNPLwSyusfQ6bQ+84euJvMmXgu7TE9hb2VfcR+
x70oGuarO7uS9Ik047NyMutS6Z6qI4uGXjcr3KMpe+wXM2vHel1nnvveO0ZCz1guzHcw4nmDeDCP
L06OCQYea6gRHlrHbLZxWHfUemhrK2qW7yscJ/NuYp154T4u35Ixks+937jbWTocDIKWtq/Arm9h
VQRPoML8U6BcNl1dz6rJsEuKpyZGLHzBeYPxIO1fMTRTRGlmyW3kjPZeaWtmPzbk3ttswU504WFA
XQ8KwMYuU2eaLa2AndNsfZBsZHi8mJc2eJcDCkhCye+MaLUzJ87g/B1svNhU9LZYe1HA1RW5Occ2
vWgPVsmrRHmHhaMGZocoTAhZue76bTW33ofhcL4Y54xxKcw9Ave+0ZSATS0ZmcCoqjV/NeMtFSTf
0igrLqnj8mDtkQLB0YGM8F+r//43TJYIx1vI1/9/WRd7ybv6lzv1/uNLJ79Lu7++85es6/wRmJbN
GgEydwhh/t8L3H3/D8iPtuWGDuq/HVhY6n7JusL8A4YJYiuHNxunj+Cbfsm6NoRwh2UE9MHQoWob
0M1/wm33t/p2xwpt13KwoHpkj21L8BB+3z20VRt6qnP7vcza8Bso4ukWo7knOVmk6sMI5/xmMMNG
rn97on5tC3532rGm+7ucbAEKwngSuOTs0PgWP+Hvv7nTS9m72/d7z+miXaqEK99BQjEjpL1F1Vgn
oWmuU/KGrwV2pXlL4Srqa+AXgvrJfDC9vVlI6k+1EsVbRC4PJcnCn+zQk9WuA0Vi0NQS/3xessk/
DPZCgAFfQRGWNbR8AiRBlw+YsyvRTqriNiX8N0rwxveptsPn0szKZAv8pr+nBt2XONFRU1Jkanon
ZESXAZUC3Wvl+OkOXjuogbK8cVKaz5DIp2EmBjdXH5jM1kkr+s1MGe9GR/VnXyjrrNWQ3XP89l+w
FDV7ERnZWZUSq2zCgQEkc+xFT0Zf0B000+N75JJFe2Y0fTEkUHSPnB5hUzq2Ni1tuILugqTzd/0I
H4yhJV8bVvWcpujYg+R+bA2sPsliA2+x4Yk3XAEymKoFpUykAYRzW8kBbhakAFuY8QbqON+oaL2o
pAcqdDF4eBLyqBrtd1xmWJZCB7MSI09CrgaxkiqiYgcAqefqSzYcOW3veUqvtTsXfFHNEBrp4XZQ
XXNmX9we50ipVUR2DyRuR42rguTOYZ4FVUwVWjuk/hairtho2sD3rUstuW1qCozxER8dHJwro7cb
sjddB5JSp3sBiHg941YEPY/5OEdj3UUyLrHZ5NCcYNxSMAFXeB4UjDoSv6Rdrbg4VpXh/MDZHx86
h7nXNzzjyhUV6ifDysM0FzrfVA4U+hgoaLainDzhRJiZIiPgnpRUOQW+Ey57cSw+g3D0O6iTvAY8
LXjd02T23+LOCS6E3K0P7ADlD+ZTZHWkFVdAqx06btP52RwRoTeDMtNrZod0V2IFgFBqnEoh5SmZ
y/qlxETCc50plFVzbpN5q1w6ttY6hEEM46/2PC76Xn1X0r4BszpyFyxSnYNDQIeE6JjPyxZfFOdC
l9YeX3pRYj1Mgm+la6hmY5SOuWm8isJA17Awacy+F1xMJRLGhWbq722jnXZOnEzxiQgYowjyr/+m
24BDbQSV5tr4ok7WDVSeh2kIzOOyzsDajt2A1XhtH3MLlyKAmSAmdlk4j7VSHDID9ioTT+bCn4LW
iqHf8mRxK8q6fw7jBusAiwQQHd5og5o0HDVsAxcp9TQNrfVVNxIznyit51wkTbdvS+tf2TuzHbmR
NEu/yrwAG0YjzUje+r6Ex75JN0SEQuK+b0Y+fX+u6QGqVNlZPXM9BVSishJKj3Cn23L+c77j/uJ4
FgY715Fzu3K6hhKG1TIr69FHwdnpoMEO1MGXJ/QqgceVRNoR2vM0fh4kgCUO7Na5rQV2Rf7jrFWU
eI8DigikXFj8u3yxOAfMXzrKPrsivkE93dd0KO+GGUxDQYHuYYwD5067VBk0LoiDPoM+iIpxE/RJ
tiJxwrGTa9KmWKz+kNbNbamX7r5JxRfOLEoRqpZ6wz6PDiL16kvpeVyQIn4jby6Q9QsvuY9Dq98b
XKFnZDu57SdTfS6aPtuZfOytmFNA/bhlppuwy6jpLEgXcdmWybWGCz9smvpwm5YS7/GqnZX96SEm
n3I55OcA+drgSmXM09m9s7HtstM/m2q+kkw9ygLXfmkVfC+t9x6WdAmWZQ28Qr0QXfJ2XTkODwFj
bk52CbMcVJvxtAzLz9ppWD/IR7s4FaCFBXL2LqPjoo5kKHOBsaLtVETc2glw3VsCrOtaOeSLRDWF
jxD7KdwbraW9tq5mXGQizEq9VQy33YQNfEuesFqZpKe4rB3j9dxX0l7h3vV4snB8sFpEnz524o1V
Kjq7fSBaIAHEOkeBAIAp5YufV/FZ8TmuGKXwbzA8wNGUUfXi0p4ZhYchl8W6KtSJQLV3qaWOT4NW
v9idklvoBPU+bxuik5onpTumTmbWdUigbdsuCzH1pItokLPmpv1KLLgl2NxacePpEpalBHzVbePW
Sg0C/AgIIyZpNEfZW5/gCMk9x/8pYnvYc48whOD5wuwVrpXxUJMEcbfjOPq3ePyKV4/PaT0auz1w
oyq/AOy6951pws8ZDKP71DUFy2y/lHG/qXoMvcxxQExuak4HnFgRk7e4jxcc5QuFqIP4rPFlki3s
ln0u7fHsJcHGtOW7BYqouCLDJYSSLnPghY447ZHzB6aObu37DGeapH+esF1dVerUpR7Lg5Y2axKg
+Tg197NfPoQO00vglu2mqwvrnuKb8NZYpKIzrNGJ7+4ECXCwXldQVRPBb4mO4HjT7eS7Lb1Q7Eyq
HVcOrml+hfgSjOKr8cyPmfWd8azHUUHI+ZgsRCrBIoNGw3u+SiKi8VLm5Edzg8OwVXt/5LAcRjJE
gAZLXcUG4ruKXiMHH2nTTzwAIVEd5LZ+NWHvH9eFtcSPhalxqqbJzprCbcIdZdfPg7yJTVJucgsO
ubC85MtEkuv7MPaXvPOdVWKRyKyMAVPaATGIiD/uaw+1hU9o2nIWdNaULRN9MstLmDPwlMXvvg7e
2LwpQ8ofqfoIu/plUrH1HFRle+gDUPUcNbxVqtt+X2nf3rMC+TQu1HADs1ZvBe0aGwXi4oCnnTqo
NLhnEsHXt5DuneFzR5UB7iDb0bh7qkeSbWa8aN8SK1o5TouBruP2cOa40H1L/OuHGqMB7EASdfc6
qYMt4dMOIlEZTt9gMOaPXr+IsyBq9qszCrGNLedoj8H0lkIGZj5vKnRNJSqIfPAFNpEnwl8iXoaD
VrPP6C8nI8s2G+4tIloo44kdEwIO2DmzaBQnlAkoATJ1PgLGijejkOYOVSuD/lKXQcL7jdhI5xXm
vZGak1MkB2jMga3Owh/tZ1At4c+8wyCNnE32jLFWkrEw2eEx7YU6RbzVAomHDuDIsRKGU4ZiLQyR
I6NhBIp9QWrl1XFJfgF/IFbJJCRYxzKPvhjsiRE2QeBVfAhlcY/b0HoGm5kekribz6lJl30p5vHd
VT2k+2YuLXAQ12F/WVL70A1IkL0QFFKp2Fmes3Sefw6pLviaMqJ7bOEaPgaUhXAfTjQe+yIc8LFL
b0ddYPfqz5W4DeOyPMU4pvYzWCY0A8bj4BOouH9PXCodi0LkNARY5nmcCvcwlsn4YAU4wXqpqffp
Kv8CBsY+96XvURU6QR8GyvfuuOGRlhp6j/votqVHlCxJRO1XY6lR85y5QLMZ7jAzWZjOgs5Mblzh
LBgc2haxCw8NDP3ErL2Gm8VqQHXM8YFoHqZMhcVtGHjxPqCgZSUpiEe1nDGZ9NZyxL2dkSMu7RdH
jyMtum2PnzicNP22lkzte7YI9rch8uhJz5hLbgqK7tc57gcG/iXFKU5JJkJDgh/Axq69PPhIqZrZ
WtKGlUtN0V6OMKsbCiy+OLRQk6GR/9f0DlAXOJi53Bdqao91M3bf+NIujxYxXgDjpiQxzov4lpDb
lCHMlhw25ccEVe4r08rbqROj+agcaZoHkgVN/mTpKfI2PSJJyE2EC96aGV46QYemunztyhEohjcQ
gcHHMFp7VZP5LdwpejY13XYLivse2Qxe1TK50X5ARnqoZ2l/G6rAfR7MJBHwWgl8eIkgLacJZrmo
sOIvM+n0ZAEY+Ghc2dMV3iQJH0etzaPggPqzdRiQRlOF0FMkpnmcW5u1YsHXzIGts1nVVN9EMPgz
luy2cwbcj4X4yELPfVFa6PbZx5XZ34ZV4zrbJcXGuLU7HO4UuLZb5rMpvZgqwixIWhmaG7Ptmbip
zUO4GRhwppzbu3bbF7O2qYjg2+vOqU8qlf3wXNlpQEuc09RQrLwYN4vFyK2xag94f+0Rhq7GOjo2
1eB8y5cp3pd2UBO4lMOH5EpE/VTdPLbKfUgsKGiYkjZ15/vnnp62TcRzCFZFi4/Ui6fvEcCCo05U
Ql58tN7tulL+Vgez+40CI3Ma+2neAVqt7uTi6IcI4xU0gsiEBzfNt81cZ0dO1PENXtfp0HQDITXe
wo/Ri0aCYpa+d+O63TGU29t95d0lXjqfei3tq+cvfSxdy70E9C38noxRxULDEv4gv0Hj9HIIUlW7
tKw4XniJYv87FbdfcPfMA2OakAhs0xas1pICnE6PwS+6Gzz4BkWyc6WONuMk49fWD4a3KeWbk1tl
/5bmUbQJjXYuJaTYU0Ix0gOTqV+RG4u1pITkseE4e4/JtuF0ldQ/XcIA7KCTBAWR6ecFPfm0REJs
qdaYXjO4DKuOZorbLlTpfbW0znZum67cFnbd35jQnVCyAO/rqIgfRgSAjVMnJNrIL9X3A3fSz2aW
7kOMJ2Q3LwHZIb9q70a03CMjjbdBmKTaGF9SJZUUzrA1FQg9RhJylw39QhwjxyNjBrHOcoczEG1Z
7zTIS6b8qBi5zoL3BEmOJj7WfAhh3VGDQX3Eg0x1Cmex27KPlu3Shf1lICT11HPKY5SdU9yyAMA8
AS+m9qjjkR871nuvrobvSdKW23Dpk4+ZcJPCLMuV2i4RzZHeU8xQM9+uhF1lQ18NePCAPcWfAMgz
wWbqgjcBrn56KUHvv+a+6k4Kr/GrVfFcdbEuuAmO5YZxQrYpYse+90hMUm9KgZQ1Ej0ycy0vMZWL
v9zJ4DVORCnhSqb9rSjY81ZzGTpffpRxwxraoj2LCKTDaoGieLB40JBM89GyV32fQcVtsj7aAN+v
33pTNwH3LmM/ZWqun71Wdh+pFaOteL8JeyZoyneCP+HH1Avoe0HE+nLuQLHeL6x+r8tvPl/6m9VH
Mthtd2kGfDPqJ+5Xakicz1GX+tqauSDretUHkcYasV14b5VGpFFFX91EnNSA17F28AOlePipctwl
EAoeA4vV29YtmEI1dtDjuhEOxth/DMUwnu0rirCTfrilTTM/zMO1jfGKLGQaYkMZSer31hPJDnOA
9ajyTOHOFyHmKhgT4PfX0ILLL2p+tbmFUxYrSpxxUinQP/NqmCL7lawXyMQ6M8mvUbj+DqbevKXS
zOhVyOQqXlXYRd4y7pCbCEjWofMSqJH88pSAjr+xjDLu3AIJeGxvZjHG32SQ2M9eWvIAJfbCz2B1
1eNc+R0N41FUvrpF86v7DX1svLn8WAB7/ao4g9LHY7EMoXhv4qKpNmq0ML8Bj8wihC27ylaDN4MO
VfOmZ2teT31PM9aVPslh7JXxe3WC+f8kwknuoyGxzlEKrTKI4FZCblMbS8PRH+qQU7r/2Cede0ci
rbgRkUtoxfmNwTRhhg29LM8TTpgjvV08DqBw1Wkp2oEug9i5blP0Q1dElwIvZ44SdHzTrOVshtm/
JNEcbxA92r0dhOIz5vH5rDF7L3jXqoI/nzdnHdMqO3KD2unc6R/T2bufl9jeszczrwstZsC9DSp+
sNS0z60A5Bui1J2S4u6qCX0TlCYRyKsn29lkVpnecbLDxSZYry4xER3Urk7FMHmx8mGR5uKJqXFx
0d+WfuPA1Hml3IYe1GBq9QNHg5zG2DgL72SaoPxPXnfo3VivU8Y7G6wfYuWHM9/LPAzAb5H22PX4
GIj9DlV7dtsrisEdZPjWRKPcdW3dfUtnR1zAXWLBorSNBdwd1YOTDM2l4dXWFbVl97EtnIuoLWDO
OGO988B06+BUlLJIWNtnEMj1OXETH2cuxrpy0ih5suR7ymy4v0Nc6/qtcrprA7IHMq0ZrXlaLW6d
biN3/hEwednAanXWhCvFl8Wc+Dgy8H/SrEwr7dHszXa0MJ9c/GwXpUO0a5VYAJqgvsXSw65ip4V/
MVlfPyyWoQlgaAT/yHLKg6b2imFz7p1qVacvlAiwCpqqa9AbNZxhxCu6XzHf3HEnkK86nl2G0WLk
zIXz1unYzPoK1istc1z3IBS20nrxewqT0xmDLH2KxDhFHRvIPrl58EKJHW/2rWOf6/pkVYJEqlU2
30XCAYSe62TTFSm8mqA7cF1nMFY0dyMxql2bAUmyme3OK/5WHXsXEmBuvGnn5GynmzJO63k9A+fa
uk7Md7wi8rPWcEf2Q9a0NhsPFVZ2HnSvQFPtV3+i7IghZRqvUK5I5Iw6TbZeDnqSRF5SP2fQr8Uu
UZ3B/cT8vtxZNMNU55FOECTZusJpVyB+wHnNIuutTN0Odg40VebMiAPrOE7HR6xVbcLQXydPsbfA
mM8DDJkrrEZq2qRNMvxKvWLZL8Okv2dy0Y++CSp755FAabZpis90pyhqQglp4oCGlFxfC7+xgD92
vssReWLoTAjfD+q3wXXSz9ES8wI1ehLu0VzhZacFqf85cZfyvXFCKERp2dwZwlP0eqqme4AGh2dM
MiC9ryeEOGd0MUBk/TdlJ2Te/S4D6x0E363KiXdkcAmqOJ5z6nxZvNLRTiqwxJq7G3QssWnbOUJK
f+RdWJjs14YyH2h0GH+C6qnvR7OhCm15Rr5UJ7+R3r0zw53epBOlXxFsx45KMMf/QjXQah2VkpG+
aBkdWAYmENz4qT2gIdPa20aVeU98zQaBhDpf+sL1tkP8kNTeMGyiUgfPGfaWmwiGvZvpNttI8L+X
ULITHDDX1pjYiOl8Er/pKlgsBnOFgd8/rlCd1QO2CAfTzDTnoK28Gbpn76DUbsbKh57lECHfsY3I
+9wN+gdnlssbwvn0YGHcIRZrY6QjBr/vu9p5cXAT35FycunNtCaxq6gSoxtOpXeg2Wbu5ZOvv/d1
FmMN0vm5t+zxvrVk1iBB2rF7bnzD1MW2c/4a+xh654RT1rr3rPF9ZtSI/M/hehcrk0LqTMwdTneM
3p6bBXi6eSMeqrRdLJKeMvoK7ZjoZeLa9lMUXnOPSSGKpzRhFE8rFBfoQC+K7bRTa0LPXKRM4ajb
trI72DGVAKDilHezpcoUpGDSfFtgSd/qJW24yze+vogO9M8qKbu0PCR9Y7/oOJBnvB9E2At8GjQ2
D+ifmE1JB6azFf6geHn5qAO+PFsMR9w9R9FccbELUBk9U97ORHbM33jaxnFd5gk7AaqnueuEE/6Y
rP66wPElwiebv3meI4+UkC8XWtmAecUhPU5N0Z1Z29mAukB8de7QxpugYucjoGq9aCupH+BZeCeD
X+jGnfrxCI1l+NUNLlYEHttmNfmAu/AdGPNTpyFt2Pmw4Q6Rp+te9+WBLijvpFi3QeJU+ZNLwvZk
SRjqSzYPX2XaOPV6gVe5r3NRHlLXM+WGBHfzYcN0i7fAkapHrkio34QkXjKYNQ9EJHMCg573tMiW
v7SsQ100Nu9wx7EA44Rl3JF4nXXqMzFtB97DJ4LC/Q92oMJfXbtZn63FdsJ1WbQy2VZdfI9xunsk
vKeYHrC2gI0ZXKgLou/vC8fLz7XNH7JDuAKEz717bUrUBDEXw/cFWe26IY/y4g/UX8JyI34ZlVP+
SIYuo+0xSGWNm6eCWZQxYsNqxdhEJPqB4VZ5zIUdP3ZS1WuZGQhdY8NVw63abdva8WqJp/CuGGd9
4o9FVNc01qcBxLvmb9/jcMy2dlLBfQwW/3aglv1+NsVXY6tNkQ0YI2L4aUzq54vGmPqUTM60byuP
aEccPM1JJ7eZBiK00kiXx76juHzlTIZIJg7EZ9KonCu0x5dnvkJ4c77XGKy7aTdyfWVCM6BwWNgQ
jz3H9u9eXOn7UAgbe4dj2keXAz03gVyRVPFp6liNxtSnZFQOlTtB1IGhNO0N09UfVZtJcFp9p+7i
SHqXSVfug0HO+F56vqtWGYjlnusu45t44GmaRHRgVSW5kJQ+0Xo0BXxw8ldNAyYldaIhXWlXHQWk
yO64pDI1zQVdrzI6D5ZXvjkRWxZFoBxZYhTOzJYTPE+mLQRW7PqVeWp/LHh/sUH31cHErb8RHp3r
PnHmai8c5bKbRoahVd8X37UTEt4Jl2Gb69n/RRCbimkrw6bPdv9NkLdscSblvrUGX0pKM1QcZL2U
uZWzDNxgpB1P5w4yPi3QDTlLpjnIvbX6qJVbuliue+sYWsS7XTSSBIZAtlx6o1jkAq+pIbt08ZMq
mflAIpmeE8+4X9U0m8+EY+szSPuBVnjyPKz/4TVpF6R+BYbVmO9NxvzyClCBd8qaxw2v4I6HR47F
eBx8jzlM1jtsNFkfXyZLiM/coQNsO9UhYYB2ZuOay0AfKXwXZ34pGlfZg+n5remSnhXuW7AD4Cna
TtXupo4k9btpmM9vjZ9J5jZxsJOyZs8vm5iUpBZVuK5CacE39JLlMiQhq3c/yezkBbo7RaYjl6uy
2fsBup06eC2Y+OGXrditZFKHWO+DmZ7FIonbFUIbXqU0ZhdbEUm4NrnowWluAmN4GTqYInKjFYjD
gkKWl3xsmaPIMoNe5plq1YeWdURkL3C0t931/5j40uEqTeQLM1snJ1gtoZcUpVJfmOTK25oJ6gOb
F2eXnO1yFRIP6o69KOxsA2rEvKM3005FqepzdL1dFT7AmyEKTL92mQ8CChTZxiS5uPjBKL8yF7dx
j9y3s8KM8gDomWO4U7gI1gHi8HkphH3CQWxuCTFDnLavInkRV0RsSONT0G7zzRqpM0unB9dCGYWA
we26ex84hJ/msCQrTqPQtqe4ZTPNzfjTrlV6GThO3FLXxvq10O3neaK8scZaYhLkf0HDJTNlD514
F6R/6cKNsws5L7mteoGBErMbAWCoCu/xUC8P7TiWNxXNYozRbWvryrA45rYnfuT1CLu69tsbcIU4
kyB1tus6mZINjS3LD+C78YEotHdslwp89EBvwlQNkfr/sc//EXXWwbmCoeW/9wa9/ez6/7X6Seoz
/ydn0P/+c//FnBX/ga/ZJ1nskan8Rw6XT3RT4tCHwWX/JnGRPP4vZ5C8ZkFZKgPhwaliZeEf/R9n
kP0fysVq5HvC8/HVuP9XziCCo/8c9+SEH0gdOErangcF4Z/9OZ5L6iBnPL9v4yHbNUBFV2NE3THp
Qx/Bej7+w9vzV44gErN/vh6HQglCjHeEOOsf/VzQ80MHABnaKKjrfSSz9Ko3Ng+jXdZb+sCnTREu
zMGQzQVk2nlk/EL7+4DaFOZr1hKHkw0lNpt/83P9iQS7sn0lwVpXKAkwzfvDp3S94cKqx0CJuv69
L/k57AmBnpDEgW7UU0Dnwb5CcNwBBjebeL4okqenv/8hrkHzf0yIX38Gx0awELB6iBv/8TNwLdWh
SQd/X6PO75n0hCefM8vz37/KX3ziLr8qB0kngMIWXP/5P8TdPd5kFvvU3zuVOqhsevPxNh2mhHKV
Zuqmf/PG/sXvpBw0Fj5xJaEn//F8tbK1hUn9YB+UdBEbn+xrOsCV//vf6U+XGe8czRfw5NDweYbl
H0+VDDO7mVTo7VVMeKnJED3KfHgci+TH37/QX7x5gY2hjf47T2H1++OFlLXwjl4f3zBBASqs9Bf2
HKZ0FPA4aXb7//Bi+nfNnguGU/zxYmZwK3JprrevHMjDOeiEVTyyfRULhi2T6sPfv9yVY/3n84dx
EceVy4oAG++PzyqxfXdpvYguXAv0RztS2jR5oXjMAcSQtIizTY1guos5aRyWKr02ORfhJ2odjWkl
8yTk33bvlMW4cTJN94hQOAq14+cbpThv97Iu6o0fl3ifgCix/xXs7Ssa9cDCVPAz1nW/MCVRKRwZ
keqHtijaf8N6sP/ie06PkZaBRLT91+dxoi5mosHY20dlLI+psvzjPCro7qN6seaSDoKwo7oz+uU5
cc1OnMlnsnP+v3mr/+p5DVi53YBdXDFD/ufvYJuC1yEmF+zzfEBecXGXCE29Grmff2PB/NdXCoAd
cl/1HV/xXv/xSnF9BXqlAaV+YVKszUBMjxj+d0Lccvv3jw/Rz3/9dlxZjqAlGZJQVPP7n//D0tIU
tmN5sqMRi5MZpFYruVrVzT13JPOoLR4E2fTP3GaKbTr0jDt6X9B3AiaPEHNFujnoahBwHmEM7vdK
PxHXUx8KReDA6KHP104zzE9B17s3aEDVOYuJiJYtpWCr2h5Ss8sB5zFypftNFN5wJH3gH+rY1aj3
DICtpms2bdvIraNaPNnNIHKbsqVKhfupl9QmFTZdjRDR7kplG6xMcQc1djSSG7mf3IWiSD+wFRRH
F5fDVuTBcqBWnuL7sYHx3fTee+Is7t0k+cWXDk+RFTL+VkGr0fNkeLHTGRd372zzsC6Q9ZMWHKKN
Fx+vzbMr25qixrL+8CMBgT1uqGSI54a7d3UN6ZbjfO1jp31B9OmTJermzhcFuDrD7Jx4k2FsaCan
ea/hCl9wSIWvcbAk+7Fo/B/EfDmbh8L5llnpW5lLOPIZ0Llz2tMQSwXrrVfEG7Tcg+NaxaEcbUp4
WlCzj3h7KyrhY+2fhet0dwswIMYcjd53TZvt+XXqtT9yG4JLh+S6VEMOZCshbcQqNd8EKNi47TKG
NjhCwsFDv2+Sfd5M40+OTLwnKEE3ccyNp6JhBYtTCJJSOXJg1Ot2bzZus1fl+oDwClV3DF9aEbxy
bJvhXxKawdNVuMdhwI8xNbgxW63cm2bUxbZqBPCahGQSU/iFrZ95ATL9Ks3dathk4xU1HQXtrvT5
vGU38vaNVgdRj4wIDTpEIVZitJOtWyv1La7lfPYC6X7DgSi4possvhsJbKqVP0KQ4d4uoDmxeBhW
TnduGWUXU/DKyKHPXx0HO+0oRPqjUSQFVl6oeOIDvGpPOdorJsF4qrcxR5xT0bVrbFzeryViJkZi
N0FcFjS3pHtf1ukC7miYb2RWNKdF97raJGCe+QpBzooZ8u7lwgFnxXpQfGpHjQFFSFihgms6qAVo
Rn4kGw4jkcWLXiwEtNSNgn3FmKldi6woNn4Z3maDiQ6IxYCuEG/4eeMJ6wCiIdbodYEpLliBBF1u
5NTSgGc3J3xC176NsnhyygmZIJl3BrPWsxSB2TJS7ncdP9thsqpoFzQ0X/pKFHy+hqoibXg+cgZ7
AWyQQe+8iuEb2pV3dubmJ06UZpsMLUlwunS+B2HAEIEe9eZo2ZiLtZVK4KIj7a72wljIwj+7aXL6
bzIcPKhMJY4dMzNCK1vkLFdFeEWT4oMy8PQ2Le2J8HwbfmXOokKw6RNojBRAa85H/BR6DuD4xMq3
0wwH1jLswhxF2x8jg8sHGXTzIZisgqTI4G8b0jU7CGo4C2FxmpEDolls9xzKKd2aa1FjO6QE0OoT
cEifIarfwJ9bJsgwXeRDiwhfMB4h0rZ2dGeRMjrjmw0+EKadF7mofssQ31EryFZwn8uWmkahqkNc
9JSnKHRt5VvUaGfQL2Cojxsk5vgc1eO777fMEiqBvq+YbE7DMNABuJSXPseNu67daYGenbggGFrq
Uj0LMdIdUgbwkAtXZHVvyTrF2zH1licoCt2Fbq3k0ySsuAJbDnEWO9k3TWbuu7GayOoBlajRmVYD
PUkvunEx9LeztSlnD8thkL4POiAU1xVmTc8PvVQIYXnxiBWK9rW40MdpcHAaZ+kmWggN5ANln5Wj
p59wLSnDoD0H87uPGPTOdNq5uHl3mUJabPw6jdZmEvNaurN9Q9WRG+GuifNdm3tc+PNq2lVuQM7S
puIhxX28QvAaHzHZlcmudb1ulfdoJGlp/TIapOXkqWcOSct+aBi5M3Z4nTReK9vWajtNlX1xy/6h
TtobWipgt9oW2iwr+D4Myw+7wvKGd9s4LVWqUVTRZwuahkz2Jk4Wd2vkhBAxTM5tMw3hYynCYgsS
B9+Y717cCi9AcO3oo9rR0Mk2NN/DIIQUR/PiWs/LPZM1f5eS0ppWGsvPe+kxE7PzaN7he6Aa0BcM
pNduaRGUruayfuFcZh5kmTgHuMHhvk0miGssNreI9hTDNlbwFPP7fiN0PrabzOQt74YutGE5b/Cr
2vlQeRt8p6HYqrnNRgoXeEdW0Cm9+5yOcCzrLF5vY9x2n9Jiwo9BPGiHY8SQxN/psqCxoFt+zTiv
V1FytVt4wwf1itWRfx2xb990u9QFiUKIpiHGnz+y9m8Ei88tX8Jmv6R4RaUTZN/gKTUnfNKI98Oy
MBS8GknzKN4lCS5GW/t8jaf2DIDU3GEofh0lqNAosMhVTaRd2OTvNb6LXYc9gooLkmkg6PTEk5t1
kNI8t3mSWjx5CT32VZ1aK8Lr4kBKLD2ZuXMPRTMMxwGEKqv8UOJKB/W1HxvJZL3KwXUQitzSdSFw
XeE+nftC3g91nmxKEZffKt/ttg3VJCHuYHDRrBaGUupfbEgIycjgh0WL8YUQ4RWmbtT0s80Xeqcq
Ab8foDFERLoYOTOqeWdZPu0KeVUcp6T7VUlZncwU2k+OHTQ7rAr3SUu3+rwo0HCBg8xm29b4OmZZ
9EvRJrKN+Wzu6FIQR0814c4qg/ZxoVGJaH741QbNcGuXVrTLE5yK2k+xtENLzg6U9Jo9JdVYTaip
w8olHqg69tedE8sdFDNDn4pykf7dqDyliifBN1LsbGfoV1g5l11lkuzsAr7MV30xJNOaWTKQWSB0
P6SR+TksZdbvyp53JNBpvg9LWgRcxHnQlvqcucP73JrqYipza/Kq+4JsMAD5dOpNZOdgHn15OziQ
jIOw6z6cTitsnM14LNS8zyrrlXANPv1hwTOL0bY8VfTRbuOaXHc06OLFdKa/JYmAds0meDB1dCpB
db64dQwGBlv9pgnG9qspp4Wdm0MBcmpFtcoQTZtasjZnlY4ozimjB3skyszkkuKbQlIuA/uk2iBk
jPfI5G/1DBGnsoabWI45jI1pC1iD+FCf1cB9zaatGIitxmrZ477CaspotmOOc5ELQwOZJMkDB3tF
W2J6rVsgBLMqHZ8uS1O+dqmV7Gqv3I4ZzHKdHIbJ7o/Mp5nlMYnDTeBhGMYawt5n3AM9oDi/rRIv
CNb+Snm7WRNmJehv+aegInkknQQPAk0FhkwAPeMYtSdFBVZU7znKZ1s/wkGt45Q+PObVe4fXX7WF
+tE3Knz3Ct2vaoAfYpo1nsHlgP/mZe47cCEjvjhrePVTOd7HI7Hnsf0W9BSwOLH1g2bJV+lkFxCa
T8A8iDYU9h1T+p9R9rOlLGSPuXGAuxg9Q8ikB6Kp8R14N4myL5YEr0nzbXeTt9ZNyxOERzXI9uHk
MEIxtIZE2PzZpTCc1uPe0U3xtjhfSHH5zpeNvbantFjnTY2PRc3UvxZd8jxUoGf6rnxpF/9VNyn/
bT6yOvxuKnUT0xXmStWfO2xQtGm3jHWL+CWWwUEVxfPkp7RZN0eGt9fmpvLW0Rk/uySZoeuRuRuz
8xUUpmklrSHduAr9Im4kwaWp2U06f0z5Vh0Zd3wiOxw1bdKW36gV1lbG3OMIhjgOD9qW4x1MMnU3
1173E4pYgGimjlhnilOQqCtKdaICZQo/cfNzMee6/9w3OHOvl3y+ssCAfsQLhTVFB5wqLNSuDUR+
mrMcn2A4xdejlG7wRGBtiXPqQDpTphvfxk0QlOVFukw0utJwVqnDgMv9hMs84orQTUnGrd7iDMMv
nEpCOUYOhILgixCY4/Pm3lqtJst78nV05zpTstay/T4COe96zvml5vRZZFjdVMiaX0cc6J3gMV6c
C11Bb/1c3haYf1al4XMHkSMYXObtMY6Xmk2/fBE9IPx2JIpl0vo9petvQ8Kghj7z6Vnum85Fv15a
9uy57vjQ2uy1ls4A8IJuHYMYupqVyg8trrADBeEVhcHg2uuGCtP/ZO88muPG0nT9Vyp6cVcDBvwB
Ym5PxGQiDX2KntwgUjTw3uPX3wckq5pJqaiqZi+4uLlRSKQSwMExn3lN0DaICuk+PEYKIgcinTpY
AkvMIkGOBAzsXUo7YoXdF0+K5wBS2e2poRQD4qMa+F6sTZ8EEtindCaJ7rDOWw4gQ5YS3Q4UKOTj
lJxlGZL/HHSpS3AEadBQyw0GjTCqc6u48aGXo5HjNitKLOdF42VQ4qDVtN4J1LX6tCokIJTsHQtM
kM3jzFYhNoY9eXMAqB4/JWh/ZdBHSxmYJNF/ea1FQC4aJD6WaoD6AH66oCA7s79QocTPRAo7syvB
HyB4nt33PNSBKAUeJz2vVFWaHAMfqVlx3soneeFDsIGedpAU63QYQxTxQWrKQxEvPBr4xxH87KtK
ycwrqzce3V5B9VJN25Ufa/I1FLd6nSqhdJ7nbfkdfRpvU5eAA6DIoByGut0KaZ921SdIonTAcZAf
qZKFThkH5VJfIPgcYJ/aEc2jo6JU4lKeSJONV2tLGTkRBI6o8aHsU4Fpb/y82a/wo8FlJr4dsGjB
B9qP7l3PTxdBoaDoVBIK1RPcyQY8Rq06JFYKZdgMRWrQvzPNg7ysh9sG7j4Jk7mIWb5LcNXN/uSB
sOhCgDoldlibgO4x0WKUHwjhtw7cq28+hah5m/DGR8R619jTKMueWkqE23yDS0AVHOt9We5jSL/A
I7lf2ix0cingnpBTWkDgJXElDeNju2sIcNPYnxuR0oF/cP39fGxLcHSquUriGlnzJBoWDSpHq9FQ
2zUsW+sAy0yXmktGrzUgmicBO+8qVcOtGlC32dcPva11N0rk0Wke4+Oi91GqDcYH0vHyzEapFOxj
KQEJkZpqqURleyjJ1aWqGtdctjrAQXnfNxt9gSJ1BvINF+USpf5LFc5FxYsq/RNVlqgNpeDOF0kj
UwtKJIWqY4AXpZUyfbIsXxp+5sKzx8vtuvHoVzMF8+vJbxj/7kl8BPfdGZ18cqshNNNv1CrSy1zC
Cai0/XwbRr52FqBcuFGLQlv4A6khULeg3ESq/R2xVfuMepw5z1EtBJCV44ftjoAzbEEjPm/EUVSl
5RHA0Ghh2j3QuR4MT164WP5IWbKSwM7OAZ2nM00owcHgg6pB6CUTMwsHdgTIxruu0uW1hw/IjZ+V
QNLDsKTCYX6nkxoSHNjDnAaBt6B9m5/GmotLNmLdR7Qnw7lla+E+0+8bwqK5MitTr1j39P+OvDaF
PpxlwSEkZlxLJTCp4yFO8gjx6RgMfxvQbHrANalQDySgJKu2g2w218xR3ECkllHI6kRvLMrGD55g
NJRiruVDmB/5Xj2gMgZZcB7LUukuLKmvdSyGSySkTKNZgC0k0xvr8UJWka7L25jTccCPia7JeWg2
7Jl2id2pi0IBOP/esfreW8gpjnFRlRuXbpQeRjXKUolSHsQC/EIWcXawVuPxOC0TGEeYjvEUYqzA
xtH8ntHoza64UHmZxGl2E017p5IlJ1laR8swzcWR4dvKEpoV0kyIwKe3eZZrB7WRqItRh9ro6Fnh
rrHGbi+7YhjPI7ctLoJI049l9GQWnYTyt5xKyJVIIVX2Ks7jtZLbPd70ImjQ8nFHNLkHhT1x4gch
Z46DMiBDWNie6KRFAEhSn+m+FM7jGsZ7ITxq6UOBvVeEmAmY06bBN8IsqpiGdZdvAayrxvROogvB
/nPSJBaGm6khJTOXZHLVMNTWEee3Hy0DtTxzjYrdKzozLTtZ2a2P9hT1y1luyx7qmM1G94C0UMlp
55XbYkLbSicU3GGFIxJUYcu+8OgjLMHQ0vmP4NXiBelMIorzxtTnQAqhT/bRJASGNt6xAZZpFhXV
lSiC0Hf8SEOaPsnNrUkqtbZboBVlCU6yQ2yIXlndnJFSuqz/BK9qKMs4u+bcVe3fdAOnn2o0/UJS
InlF6eNhrKDwYdoxzrKxu2oGf110NaibdAAnarnypkIme4GPp4wIJoaEcQBONK3TeD74UXGgWQHU
obRZAM88cHXY1XNmC/p3VIUXVHWaY1GF6vc+Exg1JGGSKMTgg1jVpdwalELz+lAXZbMSwkAOxStl
6wHwg72C4ZtfU/7Iv6VWVZ95nVXf4K8UnjLy5MWU7pZKW4pTYrluIj5by4TV58jYx9U+Omr2qPSn
xojVwwxunPudGiwRPvXy/DDFVgsYIXuePGsrIcQSJpmEHrhXIDQQZXZdPyE9r/QLuLGjjIZcT9sx
MVLgCpWW25ecpQ0iO3hsAoUcGtJgrC/Kcb+2hxyWbyLTUrVqyGCZSI5rIwovI7N1F4pvFUeVZ3aO
K08dFzeQ7gY0QntgcIvYz/j2pqvOjC7XV8gTyKeURQRfXaEs41VU9PBV6ymiE8vaYBcKNT5FZGyR
+Bg30OlBswALQaAr7akbxw4WNhWI/nBBBoSHfZk/NWN5mda9fYksUsqx68GOB/dVJY5Qxpsk7a/H
CqVDvY7UJQwKR5pMn6y89ubZEAQHXkZNiIbOvhcH0lXVSQEKSdQuKbtD7fLHAOn2HsKbryM0QNZV
YPWO86BNMou+DIUXv9T2iWBRfQxKBO2Xcs2pOMsqCxkrA6OUdF5adTjD0wnBVUsCOjWjqyKdZDgU
ZUtZSqjjUNHwzwGsGocEfdk+zgHZArh9fo4rZpIhU2PipJonFV1qCh6mixChWm8qDWIrG5hmXshe
XqzLyCOJLMlWMkdz9fIAkpOMooU89MvIqspZ4VHWlDth3vBcI2TTBKmEosHzQhtb4FBkLDHYMQ9C
Ddqf2sOgFgS9EFfwa7RTdDKoLOaX1jBtlkAAKSFHmqs96WYExKyDprgK6SFwvFEvuQYhJW7qwRdH
dKSyY/i/4ozGp9g3VU27xBjQyx3TkPyQqFpHb6mOK/u2Haxsovgk6T4I4Ro/Q10OKKeZFO0aA8nF
WdhCrHAkXLUfwWVpl6CMZSSJw/wpEimaArWNeyKMfGDPJYT4cVbYevQAw1DGdQBYrUxn5DxAQ9Vz
Il+qOHcy827AU+wUYHn8PRajS8XU806bPtPB6WigbavGS7ahYWMUi2EG6NvOpgwRSyRMYE+xmrdh
eZ3bML1yCN66sq2AWa27sm4TCEi+uYlkl2qEVVTeBocaaru+tFSRo7qSK7t+ylI1u6KJ5F4nXpLd
Sqz9hVQx8iHDGUExEsZ6SIPxGjdZ/wZpvEkSCmm1W7WUzC1VYP0uroZq3uZYrLgTZlqvCOFRVRKL
lClykEu6zpGShQtMJPonZG+7uUTdZp7Kuj6rwGgn8wG9sisJ8NK+1svDcdl19m0InmkuiwptwcEK
DkzKzAgNSTVOUVnpbkeKLCyALC5urbR2D0ZibYLqESHNiAAQSFxS+UuvNS44vNLHNm2yDdwceUWz
QQJDZpSwyAKCICWS7gLKPQDxgVFQu5HB1iKusWrxcjkBxwHQjW2/WGiAzDa0y7Cj6T3qXUaAO8gs
VZP8fKg6tKqiIYb3hJMOlplqFR6rdRfv691g7U+6GwcByK0H9DBpDGZoExTzUBHwRFQriC8qu5Nl
BxJ8dsyGYeUOYsHmRkWTNluRJvfqvFULsmgY/CF+UIjOEWebQr1XwrL7RsG628iyW5wbAGwfjaKJ
j/GLj9AucM0nWzesYxfl5CNPF5I0V5VWezKgJDwCuex01AWy5jYFenITlmUlkHUVpYnXwwShHDpd
d4H4aeaaqWo7Pg3Si8oo0I+0MgOtFN2t5DOprPUrTyTJQ+qVV4pNVTStiEjaAaYo3D9PgfhgFNEG
DP+wTdD8wPSL2mlDPAV1X1B6H9dVTVnPsNsqWZIGMMhN3hJgSGY+ygehX+iJ46NpRr+hd4OToa8N
CEN0XdkjvNRaap5fH0InKAVuKUa97MaCqZOkGEzPVYvDBqE/GtE5bNfjttBRiGBKqCdyIyjYiRot
UsMU3rZB3iFyvLK6QYYnx74UEar9NimzM58XZS11q9IvKxqEw0LG6POB0EhvZ2ijDvcheF+KK3Eu
wnUusNed0zEehiWzOaxW8JmnyiBIQnMu7NS8g0iEpVBOyH/ouVqH4uF0stlmt/JGiaq9BA30wBPD
97JEQJTOcdfPSK1ZJ8RIPAHNBEU1Iddw5FLH7unjoNYSj/FD6XUuJcsaqxxzACqiKEdY62HEUKI8
YK40dKN8RKiHXp0FRknDQ+MHF0rdtg3OI7qSLnJvksluFJHBFPEDSmeVEt67lR7vCz0w1Hns1XiU
CRDM+Nm6xT1IUMSrex1J+5bWzXAYRVI8SbyaNziZcHyEHslbUrpJtC7jSHsIYzx0hlJPSXDHQVkN
bZKutKg153GIUAuI5IxmnpXud15Do0zQTNuYWBR69CAbTpPKre7HMFcI8VSpvIb9OjnYE00gGfyk
tYp9aEi6fRCCtsJzVkPmj8euJrpYeTwMjeTQqyXHH3BvM1HNkOj2rchtMt8ha86fCqvV/BmeuoiV
WMZpTN93pXqFd+EniYbBCRKx6xDblHZJ395fppW+NTJ5OJNQtLiXTEo7qCAcQW3OHhpDCy814cfy
euwym+KvXtygfACq0suUkzjPpDMP/65fADEm+MMu5AqzdVBQHNwqLH59gk+8QSz4kSxQNC2sKaen
eUrGvBEmSMu4zgPObULV01aRwku5bTlKPwZM6D+DSwBBoQuKKBfAm3f4nlGVUPmwe2s1mF59apt5
uW7Lii6CTNsedLmMxIHP0YoKY/uAJTBvtWmSZd5GyqzhzUY59AoLYdx5nMtw4VMaTCmQ+mVHGE+/
WVU2yM9qlGUSEyFoTtRxXZp6dtDpIcjoClwqXPRZZ1Ab1EBqxfOmiyDRw7XNOevRIoWspq7wJpZm
Aeggx5x0n5qy0YlQjIsef+6Z0Q3KpgjM+zBFWUoSbb0uJDb8MEOiakYyBlSqRxLj46FTf4QRIouG
f5OGWAbVQfEOxJYwlRg+nWgdDCV5g7zR9X7I4PUN+6kCZAnv4/WgoTRAj6hBcL9qhqUdL4gCJoxB
p+JH7NnAkv0Wy7UmMRehDRZbhuAwz3oJz4WGfDeOCIC1MFynIdZgHz/CBCR9P/Vsg4YWZuIKeAZr
Qs69mXoBZ0ne2qWNKXKOA3tqt2M8R8rXPxyl+kzpW9NpOZznyL76B4osN490vJr9Up7QehTcDAVt
X7XqICKm4DY+vrsfYXuT14hpMS/xQjDegwQ9animYqLqiZ4ke2ivefYR/PPyF5eZVPF+GARbB/HI
EmBrV969x5yGsV65ub2i/TlEHN8CI1AUxJy+j83vKgk8e2SE+4bipg4CK+ZZQBDaOxTGkayrVfsU
6lMEbIbFkhtpcgqxHiWeyB2BUQfyRV5H1dXHQ6O8Hxv2a1kxjMkhF/EPNo7dF1fExUhBgrnXViqb
wqjifyxkioOIc0BiIw25sqPTTA4yhAomSYREled+G/sHgz6gi1IGw4MR2v3R8339f2+eiyF//Oc/
tg8JkjpBVZfBff0WbK3AaWBb/3OQ9tE2qvztQ/f4mP/k/72AtIW+pwC4RrEFDaPJT4eXDvaixi1Y
3eN1yyZwQQOoNE2JP0DairIHeg/QqSZAS06z4Q+QtrUHhFcB3A0mSKgcjvbfkW98Z1gMOhuaL/Bs
WTERi5QVe9oO3+wV5KguOWyqUxGgl5NUKxsR/CMvKe/YxTvyS9mJzC5FxhynTwsWALpXVz5EkaOs
arEFC2+bvDwxy3FYoTvVrOui3hCIiTlPEThZQ0Zd5HR9SiO+qa0qpnIR3XSEjjY9OtaBSgUGtUiY
bnMALadv3sbm5bR9qxK5eww+PxyYU4UFRTGPptO7h6Ok7ddox+lgTkIUu1DMd5/SMt/I5q/23PdX
0qeFizKSDdEUn7H3FlyeVCqiTRLdoeVAZSOlJivRpKcdlHvOxw81SXfu7my6KXSgwjowK/5Q30UW
0FG7BK4Y0BezvRdugV1Bkk69KuputLTdFhGZ2GwjRy7M3BEIZcyhEbQz4RU+YXCHJ3GDp3Igbvmt
C5w9jhFxHkHSljee1B0iWb5FGVY3clRrzex7CZ0Z2Xwf2Eha4N7oIdBsBB25poy+YFPta4AZ5yQP
/YJ0vXMwZtya7XhbFMGdVgjcBiPZ+NURN725neiKE8QGuTy5mYOEeLZEezNtXYP2xqBRmsgsa+WH
nMUJ2ma5X5Ocuis7u8kTcysRcqt+jPaIS6LUJg+x5D9+/DKeL7R7I0IBg66xdQN9t55RwW9uhEI/
REnPoNhVT1CxokBBTRI32BnjL6vE93EDKCFEwS2ODzFzvsiMAZOkUKw0lDBnia1+0xpklfvA6Y1i
pXtiO4beXTIoOFYZZ7+42Snse3uzEwuDTUgHaELtkS1kd7FjpmNJUd2jSiqTeBvIN2CDcKG38nkh
mcd5HVzQp9lHLWc9AvgLCvlK8qlPN7o283sfCcyQzJxcCLUEnC180hvzostL/RcxmPL+7XKf+PWp
QOpYSgY73e59Gh7eiUEgJIeuw3kOQnPZJQnSzF0Pw7/BZqVS6HcSn6AZhFhDOd61xXgOnGLRQJf8
eNDeC9y+u5f3obRMSyRGvcF13BTQIh3gyFaQx9RmuqWugNj94nLPe9K7dwTVgNlEP4YgSZ5g5m8m
FOY6kTXGwna0eqT561F9tWo8yZKOWaGfUxhRlxZ1QYje6L4Xk5wjggf7uuzfiQELiBCk6MLrEioj
dnrjNnAHK3uZhNUF1eLoUEXlBoSN3S9dI/hmJ3Lj1DBzJG08smpgSCFF1xk6snjvtOpsUDOcn73m
EIJEOEf9kCaoXhzFBQAePATQXoDesgZrjZKdUYwzBKzCmVpiLFFr4+bjF7G7xVKDY1KQ0cCMUGBJ
EKLvDgwSF7gv1LyIEaAbVpPLMD+B/0FH4vjjCz1zOnZfAYqFiJTD2eFCmvHu2DBQ1FVTlzWthYKa
bPQIZhsLZGq6c0gaaFBV/nXYd+d6QX28Gc5g19+6QDmovLt3JYC61KgoTKClK0/ZtnpR1yW4onj1
8X3qP07N3fskfng7VWQkzzw1p2dI5+hoULplFYlwjuzwjcsBPROklo6ft9iwS9jOxH16XKI5OLdy
WNojNSJkNaQTU6+kRd8X2lqj3XtMfg4iDHVyzL4sF266qQMHBrjQdLjR5UV9AhqzRaURNYK8bnug
Ijn4CJsLgzCjPz0OcDQLXZ1JHVk4WT54abVuVqmeXfd1uHUnbFOPbsHdYDRXVCNNfNT89imh9zbv
XY8iZlN4h6mZjcsI6ZSPx+zHSUS0Y+hEPRzTmIK+S4yj2ibc0FLb8Qz3pKZpb4CBCjRSyVxdfnyp
5wzj3TSaYg4K9xTlFFKx3dfTh3LRVFqGgZw6agdNM16PQa4d5uXgXeGzrKPIWMzMdDiuvCdPUCLO
qHzMwM/j4FVjQ0hZxuSlGOUGTu0vbu59iihIyyEKT7QmcM2UKXbvLQ5bJTEsWodhAg7HW9KpOhyL
y1+MwPtIhavQDGETE1xDUcW7ESjVyGtaM/bQd6Tr0ot+PcD+c2Bfr8bAz5yhas46L8+3cWFcht3w
zaBFH8qk+0Kn/VaME+WqDNIFPtMbZPb9I4QxwUe6Qp9/fKs/u1MTOhp8SYR9EQvZHY861Fxkjmjn
WWbGrhIkS3QfKTLkgA9kmBamL5YUeA8tHH0+vjKR/O6ZjPuVakL4EgjdCeP9ZtNaST1mQOmdJBdX
bifYYsp5YtPESdUz5L+QKit+cUnlZ9cEtAXKGGEVNrh378VOBkpXkYEve+GuwBBCgA/y/iCnm+QA
az3Kkubej9rLwteROjS3GBn5c1f6TgblzX0py05wTkIVRkPnWsyD8OLjIdF/iFOQOiO+I8AVqEQT
ue++DWwVlUxWa8mpwIIFIdhnw126IcsFeT4UjqMxPkT/ctX16lNooKQ7mneoh+FAZrq3ZTHCcTd1
lEDap9D3l0kPpKhFJUOKgk1nRqvcx2/TQEaCms29yXm7EOgRtQiE7mf8eAS7fhCiFwjosXIgkmPA
Z1SPQyJfNIN+q1STH1i6bEtql57bLdoJjP3xCIj3ZDJhqSZpiyDIZe3AndsdgTQIarINXzhVKy7U
xPg2AsqFqCOBnuzjeWzX5QLNqWMKsiCu6QzGGZ5b5YBPVO1VZ3XZneklMj90Jiy8e/V5r2KuVAtK
Ool8IwoU/RK76mbIXh15VY2r3sDmjZ0f1XJ4ECg8HQEv6JzAdbeWgb+m6VnnrWbfKmpwrCB8iFLR
folQXBuCiepQcKQrOT5Q/88h4xQnZRM4LTcKj+80jvujPgwxNI8MZAax5qhrR9I0DzBRt6prsGNS
tCrIQRa9HQkqtzRS9VRD8EUrFhlqzhQF0bqok94ZlKhf+vCftB5PFX50gGjHfVd6p1l8I0Z7EdSP
v3gV79enRR2QJF2Q2sma/n5naEzAvAJQoKOpkH3Whli32bpAZjx7Df3+02WW1WN2sk0eq/87ffF9
RgsKA6f6f3b/irXy63Wdbb3d+Qui2ihZfwPqMZw9IuDDf+WLvMds+s2/+sPf/hLLHWCNLTNPVZXz
TyVbnebxn5dTnO1Duf1tmz78drL1cMZYb9vHOPjtf/kHZ5ts0+cfOUHzttby00u8Vl60PWqMExNS
p6Y2uUT8UXmR99hVSB8Fp7NMKskG8zs9Xt4j5KO+wg+47am88gc9Hrq9TtoNH5j0m6+0/k7lRdGm
XfZtfGBYlkaBUsEFGAQvxdDdNY65C560JsGs2102NMnRtll6Sx8LvwBMzdwK54EByu9MA9wwwz59
DC+rIlgGybULhjPAOsZq9YlbBXmppZ8NaafC7Xcp4Mq2WO25FUxA6/vQ60SBaIs3wXXT3alBDbyK
DrE8npODzjp1ONX8cqlJB7n1BNA2XrvmRYsZ3YOfkkQYlDEimt7H2MTDBntCyGMelfAHqdwr5r4R
1gmQBuWE/pEzdNI89odVQsceBgmO73q4NKSVbIZIOCoT6qKJT3r/LrVxeky777KdXla1/C0pRt8J
vEmGSxvyRUU0qaf3dXyKjG09a9qIfg7QD81DnAzSTAnfSKgbJQzPabjtIzGNGKK6lvTkIJLJb8zk
SOsVWJZ5joTVBLFAB6WRpIUZypsYEZE+D0NyHlq1jU6vtNBvZYx1eE0LiieLDApj6HZLTA9wvwJP
WPdOaJYOxqjHWlBvalM7UVztPhLmBhBQOO+GwSBpUq+gL13CeFuqIMw8HfloeDfKzDepgqCpipyZ
H2w8eAXgEkD86ChTFRX4vf4XGQwViPdzi3WHyINMceI5c3o3t6JWrhA7lZDJG5PLspayua5XG3Sf
1n5nLhAKwMBWmGgzpas4PzWSfkWp6bAGIeYMstbOkgpIi+va+yYSmJGExlzTLcswcmkPaRutzZZ9
b5xrOkQBPPCcQgsOi/RQbvRVmaeHyrBUJGuRDvi8BuM3I/bXlugWpYIjF68wH4InvTTOjOgWoBrx
voFNS4IqIMqAig/uq+Yk0pwsrI6okjtqn9EQltb0oTelUS5bTd8Msn1k4sfUDw3q/wmQsPoihI7J
lFyNOGcpd6bRzsKxOSjM8QQXAIzFMw9DJoE6nM2sjCZGdhscWemxKOKV5JYkr9b3pB7WMZ1Cb9Jd
aqQKLdhmPBqBnlsIkA65scyQIAWs0M0aGXyppAwHbBfXqurB+rtQy/K4dPV1pXQXaX+HWEt/mKt0
j6DviNvC1ZqZ5Mc3EqBdP1dWNCvDWWfqS8Wk1aSVD3LPPbbJcIrUMTB2NzOcSdD3sOiKWW6Od292
183LVvO2PKpOCeLODsQsobqCQgjCBvS83tWDxkmMvAT+vTCz6NGTmmuX4XNL5Q7U7Bxk74EiyjOY
Xydj055S0doPu36yRAaPgYV1XYBbNezQwZsWmRj71If7gBTeGcLNWJbX0SYkr6N38ovZTSvu3X2b
7NzMbzZwDhhFfl+TqfIC+RoldBcFAHFw/xogXW7YyOZ9AwoIl0g4w761qtkXcw/oRMImVSjoOQvo
o+mq8FH6FRI6cmXRjfNcCOash4SOGqwxnVVnqolfZdCes7GCNwdXHTbnuaRcjhpxU6k+eEZ/nujV
zNUsvBB8fCXcABeQ0qyzBT7SbI2t+iQ3fgOfuZaOYCxg+zLm9SzOuzO/bTed1RzmJn3XwEyPfQqC
S6ofd4UYgRJG7QUanKdtjFhyY+RPqRT6C0PLL7paerKB6M2twHwypfi8MsObhI5u2YL5NJQn+GAr
H9tMG1H4wIOXW+mIw9vz2jeuOlxbNAurXgHg3Zf2B+SEs6RbUErz5G4uI0QZ4DCZkp13gb/W3X6B
8eqxLAWbqub0yGXVCS17jTVQhJ4rbsVlfQnSin1cvxmj4tJD2K9R8RiEuTCn0UjqWgCYk9dGkZ4b
freWPSoiNTAGOT+nMH/QqJpjkliUoeGYobXxUnk/y7tNp1tIIVrniQI3iQaq08h07cHFBgDTPV9e
8uqPZAX2bDvxFIPruC/WrWgWNdwTYziWs6PaRdtxMJa1TWQsqMtWN+F47poaDGLL8ZtDG6ltfJuv
aYqHyAJ4AQRrZVmkiPlH48LvsLkuNSCTPj6QtblpoBnhQHJbJACv7QrpQCwgkPhHX4ZUQyCFnYhv
maeVFDwKJwVxQm7RbgIDXnZM6V3C0c9KkBCzr3V6ILhXI6ssLfMGOfQsc49SliGs7WxTF9EaVu4y
zPLzpDPPIi881NWhc0a8JwocYOcSwgLYtyAQ2CyrENylV+EXEd1Qs1mjKLZOGkjUURoA8q0xffPT
G68yjvpSu4pruDCGeWOMxUWfNPWCWb1fuBDCscYBD4ATYYVlYKx4h2gRixk6CoNTela8MPTxiFR+
VpjZKZz/ciVKeatXI+6dXXmWacM2Kvx0FjX1jRyD2yCCz+aBPWxKvb5sR+ugFSTSGmAVKdoHHXRl
CniItdJTng8vgKnfNGpzKPf996QfKUamsaPE2lrqeqeX5U1CtoLG/1WCXaeFammp22dmIx170S2y
s7MMurHtohreBt+0ZFwMzHYdSOAYUMBkxPrePu8HDefaYJXV436pFGcks22ESeYo3/VeP/PUfqk0
9n2IAzbOtyCuDePMtR9BH82EDfEDw4KTHBda7TRtzsCQoX+ZOI0G3FojSVehWFmXZIvo2IXzbKzx
tNGgZPeOGj7CWV+lnbWIqhthX3Q4EgW9jmEQDp2+o6i3jXcuvGRlWiW8pW8gQnH16M6yRmW6SMeh
fNaTnM/8kS45QKlBR257WAemvl+KpYHxJGi7mQ00LzdPle7eRsMwEdpN3eABMLCuIxWM8QZXGowL
viHWH8CB9q8LLJfmTWA4XvC9QzAxaZ76MJsnuf29R1NgCQzsu5Sba2gu6yhQHtourNF0hY4EltgB
dO4hPtE56lCAucysfWirmG+2NnxpL7kKBvx4enXQH6QSJLslWQ6mkNayy8ZDo0wvfAr8Dg3sCzuS
bjPErrMIxdU+3IxuLUAylii4pJq+79URpJTYogBkAlZru/Q+a8aVNYp1DQ7FTJC5kC3CKc/vzyW9
AMYi5wt0ZafuwLYG99QoJaw2V5k3oAgB7H1Ho/PA7vxHa2gu7BSkchGq6zAckC6vCE1sAFILl547
fDmKY219EWNBkSv4e476EYD/p0iOAQ6uvBqPAWSGlaw8jjr4I4p+7BdInw71ytIK1dFdjWRax6tc
7wzJ6XCtwM+olHCKtiGyRRAB/ssfkRoWDWFabthQRQBrEIFdBHJyg9pvOksy2MB4vJxpvnLA2AQL
lzx9puYungVC1HORNrD9JIuLJOb5c3TwH0hHdxLPv5dpvklKf0g1+aZ/JaKTbmR9kf17v/TxF+3k
rkyYtJ4yYS/I0reJ5XNMvZOrPt/Sc9780TfEW9Lr5gFcgaruUfpF54+8M85S7/Wfhb2nmUTGoEMp
v04V2LfvZUrC/+zZP36sH5P5H79n58b/FPcwlToog74JJv+4qx8f/923/OvxFXVv6mOBKiDsfPP8
trpHE5KSpya/PD8ZNuP8Zmb8eN9/5dn+yu/8tedXTODon316fU8otIQRRGMQ+FD5eDMIwtxTTMbZ
0KZWBJ+X0f5Cg4B2H/P2ryyAP50BqrHHMz6D0H42BogUUl4xKai8XOgLPTw6CHQZfwD//MkO8OcD
IPbosgPgQavh+bO7E9hMApkSFKPw8vlyO8E0DmxTL/f1bnP+G1uBqu0hOckgaNQh3qyC563AlFWQ
si8D8OVWAaCel+3p3394xdijrWMoFup9L5+dMeA4sE2D+qj9VceA8oDx2e0Q1VFSdpma6k8HwbL2
IP9gGA7X6vnz5VaCijLWZ7dDk3hggvMxFX4yEabFQIuUWfJVjwRwF4BadOrenzsXMKcGMoUUKTWN
58/ursCKQGNKU1HefPlQOP9qAcLLQHx6RiiAOWk72xRcnz+7QYIFQFSf2ubyVzwg6a1MALLPRQhE
SfA+iId/ui3YWJUTQHByiNep8OVmgkxzi4bRJ8eBFcHux+5gTSEzn92JQLQIkIJRoEv0/CGi/mIr
4mUc3rf3/nbAhG39y1KwfjoOU+owjY715QIFnNNAgX46YiZnQiGXns1PNwSBQDf+p5MG+Ms8+HLH
JAHjtB4AdHxuX7D2kAlG7xi03/Pn3XoQewyBDnIGpM70+XLjME0HwIqfHAZCR7ZG5OeeBainB90N
HfW9CQENKvK1kvDlDkpw6oR85DfqtMWrcLs/e2Jo2h4dH8WaYsWXz+6QEGcyK3RdBpE/fb7cRgEO
wPp0PmXvKTZkg4lU+Cad4phArpsADU+A58+XWxYKjr2fXRSassd0Moibfr5HTv4GFHAwP/iqg4D+
GRr8U1fzU5ukIvZ4RJMO6A/xM83cKap8XSIv8fpXKq8Y2mvB699Pq9kIKKHawHBez4B3e6Mx1VbI
MH7/8ddbC6/Z1GfrCxRX4MCAWIJD9vzZnQ1U2QzscwCxvaZTXy92nGCon10LBI46mYIQu8VmtkTy
VYCuymsg8eUyKc7v10PqE2sBPBvsI3tybNk5EIw9Ckugdn8vKXy9nQCG5WdDAhaAoVkkR8bPkwYY
kxYcSoiAL+vjy4UE6AN8ejtU5T2DWGtCc7885e52aOkkVhbVJ3x/nj9fLlTE3Ez9bFyk2Hs6pZSJ
ZfvylO/ShqnejpodkNCXz5cbBBQHJgbh58ICZc8CMI6Q0s/jI3sPTP2Ei30ZoqnU8BVrCRPt9VPj
QPfJoKKiAPH92Yqwqb09swugZr98vug4fHZRqCYuYcqE8PtpoGSzMwDRFhSYXj4v2/EXihanufrZ
WJlBMLCpNImTXp7y3UFJoZFNganwOkZfbmcgfjNfburfDxNQFaCrSStywru/zRvpvgAWpuj+5d79
awPyPxAiQBSYyhC7xyKbADETGnm/55Jf771DOHiJ2v79987kf86YIbC8fHaPRYvQwURLACOnl43w
ywVI2ovr4eeOA5Y4ESL2XD9Pk8QeREUOC6bJ8+dvzIS/sFf+gW2a+0H88IxqCh6rNyScX/7C7+Cf
H7/gFdSy//DPf0ygpZ1fnBROXr768Zn2M/39f3bwCs/Amzc//B2I83yd1//++oA/XnrnWr8/1e//
uA4ey2157w/PPxheb3PiLv3zH3B6fLg+m3L78Fj5O7ir5477v27oB32WP2bBh9+PB0Py9mtf+ref
/dpZ4G/Lt1/7gpL57Neut+WwTbdvv/i1TPjpb8Zy6N7fxj8d6Zdi3GcvcbBNkua3/7NN8v/+7XBb
YYy2M0JAnKbk5rNXOdyWKdC4aHeQXoBan/5u5mn87oufSxL/j7Ur2GkYhqHfhMSZy5AQiAKCIs7e
Uq1pyzql6aF8PU6bpPWWDbS369Q9O3ac2IntoMB/9AeKFnnZHM9IlUPahqaoGmX/VWlubxR059YX
H6miwG+94gLiwphBgE/BDw6+q2gtgccjFhT4nSrqbEkiTdQ7pyj2h65rLRYsn3WDAuf0rRuup1T9
UiLem0TBP63lMs3EIu5aWLLXguJ/cZ+sM48gw/bDizkvWNaIOe4PIlDeH/qK0W0QgrOeeEcMY7eC
43jZiOLyrhzrbF/0pl2zdh+7hityOzkOnx8M0+OXrE5vTzEHEyWT6Z/WSHdgTmxEwXOj972cQXPQ
goKnK6KXuhhp8RFH+C3Z0u5fLpOruXaqDkijPzle57vXVtGRZLRzcgpAC3CO7WDwYss+Dg3CKlgy
LkWJAz4U/r5oSh1gZs5dlgMMHe3toK594v72Biex4h1Laa6nl272lKhxhXmzKkuyVndHFPz91hX0
O+4zVLuBBHmMapjzEVE9PPFWcBL/ClMoL9i0toc+/nwRjPL/TIrlsxROMvUCJZNejy7p0HB2707F
m7FC5DgKDZUfqb/JENt9sWkKMne/AAAA//8=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cx:spPr>
        </cx:plotSurface>
        <cx:series layoutId="regionMap" uniqueId="{00000000-5C8C-44A5-8A0D-E13E0BC8C5F6}">
          <cx:tx>
            <cx:txData>
              <cx:f>_xlchart.v5.6</cx:f>
              <cx:v>Sum of Public Toilet Seats</cx:v>
            </cx:txData>
          </cx:tx>
          <cx:dataLabels>
            <cx:numFmt formatCode="#,##0" sourceLinked="0"/>
            <cx:txPr>
              <a:bodyPr spcFirstLastPara="1" vertOverflow="ellipsis" horzOverflow="overflow" wrap="square" lIns="0" tIns="0" rIns="0" bIns="0" anchor="ctr" anchorCtr="1"/>
              <a:lstStyle/>
              <a:p>
                <a:pPr algn="ctr" rtl="0">
                  <a:defRPr sz="1600">
                    <a:solidFill>
                      <a:sysClr val="windowText" lastClr="000000"/>
                    </a:solidFill>
                  </a:defRPr>
                </a:pPr>
                <a:endParaRPr lang="en-US" sz="1600" b="0" i="0" u="none" strike="noStrike" baseline="0">
                  <a:solidFill>
                    <a:sysClr val="windowText" lastClr="000000"/>
                  </a:solidFill>
                  <a:latin typeface="Aptos Narrow" panose="02110004020202020204"/>
                </a:endParaRPr>
              </a:p>
            </cx:txPr>
            <cx:visibility seriesName="0" categoryName="0" value="1"/>
            <cx:separator>, </cx:separator>
          </cx:dataLabels>
          <cx:dataId val="0"/>
          <cx:layoutPr>
            <cx:regionLabelLayout val="bestFitOnly"/>
            <cx:geography projectionType="mercator" viewedRegionType="dataOnly" cultureLanguage="en-US" cultureRegion="IN" attribution="Powered by Bing">
              <cx:geoCache provider="{E9337A44-BEBE-4D9F-B70C-5C5E7DAFC167}">
                <cx:binary>1H1bd9w2lvVf8fLDPH1USNzRX2fWCqtKlGT5LsdxXrgqtkyCdxIEb79+TllyugopSQ5aM6ull+5Y
IurwHOxz3UD98/P0j8/F9bZ7NpVFpf/xefr5edr3zT9++kl/Tq/LrT4p1eeu1vXX/uRzXf5Uf/2q
Pl//9KXbjqpKfkJ+QH76nG67/np6/t//hNWS6/qy/rztVV29Ndfd/O5am6LX9/zu6K+ebb+Uqlor
3Xfqcx/8/Dyqt8+fXVe96uerubn++fnBHzx/9pO9zF8+8lkBUvXmCzwb0BPMMMISCXnz8/xZUVfJ
7a85OfEpYpIhdPNb+v2jX21LePwBWb5Jsv3ypbvWGt7j2//ePnQgNPzbL8+ffa5N1e/0lIDKfn5+
Xn1R8KZK16ubX6zqncTnr7694k+HGv7vf1r/AC9t/cueEWwNPfSrv9jgl+rLttxWz7bVl2ev1Of6
j233XTGPYBN0wnzfR8InB8aQ6ETgADGB/T9tdbMPboxxRKhn57oAGfV9wh030r2LWcb7BUzyH2y8
46LtI+jgL/4mghA6wRQJwdCBsbjcAYtQxm+Rw77b4MZYt7v7bimOm+X2sQOB/7OhEpls223772//
78MDFM4kYgEnCFACP8Gh4oMTKrnPgoDeoMRS/A/Ic1z1fz5o7f7o4j969x9IC+FjlYJDUMm2Sx/P
JNg/gW2OKRE7x/VXk7ATLnwacMpvTAJ+bd9x/ZhIx62y/+zBq8Kbnj0pw4DHTbvtszfd9su1fkTj
QIjnlNJAyH+Fjf0QL08kowTQQm6Mgw+N8+NiHTeQ/bxlpF/ePCkjrb+F/f/als3/f7ZW5lsCsN5C
Evjs5t9ebRP4/2fb4bpQ3/X4CC7PP7l1duIovnaJwQ51wrLdjbSA952s94lz3HTW45blrN8+oZD0
S2eqLeTqxeODDXGIPhgLSYMbSx1mBZKdBD7HnH2HohWc/pZkx412ZAnLcL+8e1KQ+0XrbXnf5v17
FQ9ikK8RsBA4xJufg/Rhl2QjTsFX4uPu8CFp7rDKzWO2Jd4/KUuECurbR7QEPWFcChrQnfOCn8NE
TsCvfckYkYCh/XThQTGOm+D2McsE4dMCwypNt32v9OPmbyg4QYwJIunRlFqgE58EgArfssSPSnPc
IIdPW3ZZXT0paKyvi/QxA744YQRj6bPjCTU/gfKGcMDOjZOywsiD0hw3yO1jliXWl0/KEmfbbt5W
0DjaL60PXunvFvjyJJAikAR6X/t5M8QR4iPik9uczLLBD8hx3Ap/Pngg9M/Pz56WpzpT5f9SjoWD
E4kwBYd11FtxfoIwQwFmdxjmbwh2h4X+soJtqqdV1FxtS1U8e7X9cm+N8PfSrCA48QMGSbAQh7AR
J8TnPvIp/w7Rm4bYjwlx3CD7z1qmuPrP7k0eSAvdmYttWd5UlS+2Oi1V911J/34RifEJdCMlpf5t
0JCHhqG70oRBwDkeU24ku6lyf0C244Y6usiBDkAFL55UvLncftnmj9iuATPJAEp59L0fY5kJCkwI
+wTizk3SbJX8D4tz3DLfn7OMcfnLkzLGBRQo+a7B+XiwQfiEURYgKW4LwkN/BlUKZSTAMJa5ScWs
3uYPSXTcJHuPWla5OHtSVnmx7aptv80fMSkLyAkPfILIHUMA6LOAr4PK8ngV/0MSHbfK3qOWVV48
Lay8uO62xWOaBJqURArOOUDgMFEmvkAAkttaxioiH5bjDkPcym9b4WmVKx/6HjgHj970hy7Xtxw5
uG1D2r0VH7wW280tj+Pjh6U6bhrrcctCH55Wdvxy+yWd/xfmMhBYKBYwFKPHm/riBKbKkmF8m49Z
gf7HxTpuI/t5y0gvn5qRIPJDxtx3j+nR5AmBjpjA0A7+9hPYji3whcTodnAmLXLMy+0PyXSXefYe
tm3ztML/y22lGvOIlQyC4I8JA37F9zHKgV0kPhHQV+YwcL5JySCD3u8f/4A8d9nk9kVsezytGvPl
dQKzr+38iEhBkAXDVCXA/DaeHBYtEvrLnDMBtIzjFvkRie6wyb8eta3ytBKBl2qpu0cddOET7AMI
fHxYsXyjkTEfSf/4wP8HBLnDFN/fwDbE70+qWoERPqDjUUtIdgJ8JAHtyqOdF0lOCINEADgyNz9W
Z+xHBDpukX89aZnk1dPCxusvSqeP6a4g/Q2wTwhE9pufgwAiwCBIwJDYv437VmB/WJzj5vj+nGWM
10+rsf/xWvfPwusKUPI9rv77zUlIhgUkwgiKlhuDHPoswU8kh5Y+J/QGIpZFflCm42Y5eNiyzcfw
SfmuN+aLAbZ6182PZxro5AuJAobw8XGLPIHIjjhMwm5+IEnez7Z+TKTjltl/1jLMm09PzDBVtv3j
u2b+fbwA41KAj5JAgj1wXZyeAJWPQBr2LxwdWuMhOe6yxM1zthWeFjzebbOt7qE//HiGgEYLFUDz
hg7xzfa37AF+DdIsyHtvQ7/luH5IouMm2XvUssq7p8VIfq/yXD0mwwtGJNz3MQwZj0Z3mEByoCsD
r+jGYtbg/mFxjtvj+3OWMd4/rXHW1TXkvsmjEigCfgKZLaPAuDv0VfLE9+WOdXRbiMCv933VD4ly
3BZ7j1rmuIqeVNy46natk8dMffHJLona5VkHxoASHWIJB9LELSosR/UDgtxhiu9vYBvi3ZMyxLeW
Ngx6H7UwhCgOk0MfuHe3fZG/AAR4EhhGj7d+zLLJD8p03C4HD1u2+fB/7LPuPqn359nFNQwQN98O
Pe4d1rv/t9/eG05hWo/e+pibHOyAtf7d/Zx/gYORAfTb/zxKuVviwDcdHN/68++vIbv4+bnkkIMF
HFMKTUqYQjJA2ghF08/PmQAqGXD24DCMhJGYjyFXruquT39+jvmJDy0yKhnkChjqUhii6drsfgWn
Z5hPMHQ0EYchmgQ+7PdXe1MXc1JXf+rh9r+fVaZ8U6uq1z8/h3Wam7/aiemhgHACM4dds7r5vH0H
Z1fhj4L/p+MprnMl2VkarCV9rQdIIv58/7+x7u7z9taVSA1MFxPf9DQt0nBZ5vljitgEPVOX5cEq
+8tn3Mvncar4Ju3arns3ssVPrpJpqb/evz4E/aNqgfRtf31ZLrkwecw2ElG9vG2CUvphijMahMDA
KFFIcNvHp/d/2F02APPvf5gG22djUrHNpLHAofBx0oX1zAR00O5TFjSMjr6Mf7g+l63fZHJmGxM0
5GUQjKR8P/qZzy5n0VdT5PGFdWE5tw045/s+8I4XErDT91+oEX4z8N0HDoXk00WdmtisiDap2tz/
AbuFjuzaHZls/wOEWka/N5huxlzz8YLNOEarJtcovaR5mqGXgclNvmp1W8089AsStKd+lQ7d2f2f
f8cLMkujRYdZME8ZjzqvGaOkD0gRJlgkX+5fPtitc+z9dpbcQ0/DS51TPdONSZKhXQkkIo6Dr02O
2zEP22QcytDM3LusxyTINwbVtahCLxGohBafiwl3wNiToEjmcijoCBoWiK5wV3/ldFRu6hOW06nB
EYxi7ulmnjX/za/nOowHk712E31ntH3RRaaYxh3d5Fipax/O7l9WnsrNym15y/XU3kibNqV0U/R8
+DUYWxJO8cLdHJuwHE9XjFnToJZu+tpblo0/eUO3Zk1dc0fxLWeDpiQQc5GBs6mJyVYzYxMJ2xaQ
ur5fP3e4TmZhs5TDSDOT8KgsdBu/42XZml9xu0j/ovdSyd9C6MLs/P4PuwOIwgIiymavqnXjRVU9
c/ZGQ8O4/7Xse++r0/rc8mRa+MYfJyqipQ7KzZwQrwsnlevuAWvsdvwRoHNLWbLOSWHQHEe1J5by
dOyCZtgU4xyodatSIh0/xvInmNSxGBuPR31vUH9WsbryN0sVFNOmUf04ueGaW06jrYc2xlMpogbl
y1XezenrijN5db8t7tKV5TXGfBLBCClUhLxJbQrdcXyZkLluP+ZU5NMDqrpjR+1YS/veIxVJkwve
iKgryHzulYv/WiZBV4T3v8Rdy+PD5etYzT4oh0WGt2gK/Wwin9hSNxu35S33YQZewzyJsWgowAJ9
kZQbYjzeOEpvOQ+jcDUXcyYiooccbDCLyQu1P6vF8QMsPOfSo62cQPsyKNvqvAloNW66jC/jGycF
7ZLwffNyNGMdeBOLpE7Vr1xo/WZSSTu7yc8soPG5g9M7QHKPGkx6ddYveJJhmpej7wYxZkFsUnPL
etTxKNdJQ851iQYRZoZ0D8Xmnec54pGYhbI5yRK/HMHEbTw33TpLMOdvSm8Z2EXSx2W+mRI0V78V
pcC/myoZqwc8+V05D7OAV0xJzOtlBFdYiKK5SD0dcygccglZo+jHjPRh1WfLsFIpa8rTfFoSvmZk
xPX7we+ZcVSwBdA5Zh4XuRdHJffMGquRR4IX+IH9EeyQcky96HD/0aGfVItaGWF/6erNEsRDv6Hx
shRnjcR8fp3osv7aeGQsz8giKvpqwhhVLxEXIvtN5IjSB0S5wxMxC8uiymhTj4pEDY81XrFFXjfT
NLZufpRaQDNBx0SWJSRKmkl8ohB+XmnfK938HN3t3r0cr8VJlXkelxEtoJJZmUCUS2hUN+sHtsEd
MNgdS9n/AK3amaKpE1E/jzE6F6Tr/D+mJgBIpCj167BSpilDtLAm+dyUi0aOerMAjseqACt3LGIi
Lk3YtEiX4WyI5+hiqQXwhSx5a1jHN6alwYbNQ7JeWO2tnfwrtVDMYulXWTstkTZJHy0Vz0LWNdkD
TuKOPUstcMLBotSbIJeMMqTKFeqDbB3PNXLcVBY2oSypRaDqJUJQN4Z+GnysEvJQpneX6BbcAtZU
ZCqSJUr43L80c+VD/GzTIHPcN1bkTDPTN7ibl8iLS3mOhilfx1iQyMmsxEIzbgba9Dms3seIrEbM
dajLQLnJTiw0iwotYuBgVq9H6SrHZghZzomboyMWlDPf6/wx1kvUBqo41bJKVgMly+n9mtnB5ohD
JxZeq5imyxJ4YzR69Brqwnw4JX3eVFE/cub4BhZk8cCHKsvjMcIA3Heyr7NNQOrcrV4mFmT7CnKV
cWFjVMNA8xzusDDrbK4c3Q2xIBv0ZRGLJTNRogvyQhUlf9lMhaPoFmIhksZ5HuA+aussDlYdRXrF
0ylP1/cb9w7QEgu0NE507i3Qh2kqNV3kfdJfmjguHEFlQRb6o94QmKw/7Uwy6vd49EXxmnaCpW77
Zjfb2Q9ieaCGNhnQBDmbWVZ5Qz/Ncq4e2Ph36GZHJ9xfnGZeToSIh01bpEGItUFhK6VxFN0CLW4y
guJMDKB571OHIAGr5BS7mRVbmM2bpfM8zW5FJ6hFIR2Yq+g2WqmIjUiDYSNHaBqj3eraXTE7c+xl
Prk/NHGhYfUpk+nKiNyEjKHMUe0WWlNCRQ0DdFidoOtWkeI0UYlj6wlbaM3hik2hElhcLqaMCi47
KI3Y5JYb7IYo+4qZeszjYs6HDe3jMZyCAYVBE/duIQpbWC3TBlU19s2mGpYqHFN1bbIlcNM6snCq
l65v6nQ0mzJPScgI/eQNGjkubuHUj2mH59TrN7z1q7We1FabRTsubsG01XLKIBM2m4zJNGSZKkLT
Ie64uoVTjjMvUZ4E0aUJXmoYj7yJeVK4jaiQhdPJEFQRWDlaArjgNVwqweja6z2h3fYMsqCK2kmW
pkmGaCZl1YUebmjUjKj/7BSckIXVQMWoq6cSImusiwuZ6WCt82zeuK2ODuFkurjByUxN1Ev8e5Ch
t5rgt25L20jVc1bOs9dHKvVegXv8NCPu2F9DFk6lUiUPKt5H2ZiKtUnpVZ3HtZtBAwunVa69Tgpj
Ik/1alVk/JKj1nfb7DtWzL7/grHw2OhJeJuqmL6oOfiIaAkDeYdhTmChVKgx8SBezxEsq/twQTpl
4axx4uZ6AwunQ0JNmpOuj4Cw4P9GevADoVZL4JZpBBZQTVsgv4hrE5V1t6zrif+RqiZ2VLsF0lio
lg+qMxGdu3lVlg2Inj80ed0tcqQ42JEH9m0qK0ZU45V9BNN++VLoJHhZeHHz0c2sFkRRj/oOroeG
7ZjGaYjL8TculKNJLYwupJZZnOYm6uiAw0BMn4pWvHGT28IoGck0Kgxre5m+ImZ+SYl+6bS0byG0
HuM46XHSb/zY81ZeFl+qxXfsD/gWQoOgafjiIW8DF5S9Lmf+SXRz4eZafAuiXgp5eleDToq0elsn
9Wlcpm6e3LfQSZpxxhM0vTf1Mpx1I3pBqFsE9S1gNjPtWd1AbcfK5FLUU1R1sdscdHfn9T5yVNFP
qTEgdFN+WAazyvivbjvEgmQhs65ZcjAiSfM/ukm+FQtz81O7a9H2ZTbtkE/zyPpo1llwtcw9ijKD
9dpNcAuRuIqnKlOyj7QHs35U5Wcylr+5rW0hMi+UpnCxgrehCrJbz2dbIrFbYANS56FaYGO3beFD
SE4Vm0KqibeWkg9OwIGbBg5XF3rgPaGDt2nZ+65eC2BiuOiESAuRaZK2pE3nPjIC2BYj1k0YtOzK
bXELkyMMyOe5ivUmSJuzsYDhe4uz3mmnAJH2UCWdMX7uFbC4KOgbbJrPisydo1YsXMJ1aLPfCqk3
XYnfUFh7MoPr2hY0g1FxjKcA2sYI+5dGJNlFSybmqBULnakmQwH5LGwUurBw8bMPBUudEiwiLWxO
0pAxl4D8Cc99tvJJzOo1ggxIObkWIi2ANmNJYuAb9VFCmq03Dh9h+PDBaSvaZK0BY79jGPRiTELX
rclViOFgj1MeAQ0hay+mA4d+9ASCT9MbU/sX09A6IlRYCM1K7hOeYh2JHL8sgHC4gWtIkJvGhYVQ
k3TAuTRDH/lN8ZZ4xSrrUqckhdj0p4561ZzgUkcIUbQay6BbBST76mZOC6AzTBS0KHsNDAD2KdHT
heL0vdvSFj6nro9zgbwumoNiDIuat6dVmblRF4jNfKrpWMkB+DURjJCWdbXUrzjWbnN5IiyAmgbp
PA3GLqqBn1KE2nTeC2/w53dumrHgOXoYvCIxYNFh/qIhg5u0+MNpaZuB1EPgSRtW6yhnybupac79
snTbhzb5aIhFzrKCdNEytOlmGBO09orqs5vcFjjVQmLdTbmOZNqscjK/KsVDaecujv21qiI2zWj0
oB88NLyL0nKgJuw4y162rJnCMUNmXrnJbwVRmldTlde0iwqFfy9S8tFr8iu3pS2ITkBJLBiPO8D/
oM8G3QVhMBC3UR2c+Tv0uAlKqeowAsFJ8LEcvCokXvOrm+R2DJ3aJu/8VEcUKTJuFmxmElaiSHO3
IM0tnJI0SYQRBWzJyXurSnSlWrdanHALo4WiLRTMsHQ8y7e9r17HmDmNoYhNKirEHJftMHcRjksU
eQL1b4NkVE5UXLgT4NCgiA8+HRTsxNhf5nDu2ggTR0YXsQlL5RR7/aTTLqqGxg/9gZ+2Y+LWHYZT
D4eS9x0xhkhQObjHF8OMXhR0csOQTVOSY1KYrE26iMdJFfJlfiE75TY3IzYVScIu8SeUd1FQD29w
0F52fu8ot4XOTsF0go1eG2kmPqqge1vkrVMRR3bfPLRffsYTKfOkybqIgWZCCSzxsJ1L4eYPbbpQ
j7PWy2rZwtwmbVcdyt8aT7qloDad3vehzqqo30aJwmUWjtCo2BjfY26KsalIWSaBNpbNgBs5lyth
GHtXKH9xs6hNRRoyymIgw7XRIju0CjR5BZHUbXpObBqS8SpR06mG7VJL4ufga+dcp6GQQ+7Uw4EJ
/+GuAf6sL5OpAt0n6chXFTTPojgmrdscgdh0ozk3RnRl3ETC03m7Gsam/GokHx2LRptwFJTIJ6P0
mqhLZ70uE5aFoCF66hTwbMIR59Mk/MFvIlMwtPIZEL/hOyQc/SO1ENsXcIpE46qJNOFJHwYLyrf5
PFVJ6Ca9FU0n1bFunEA3dZrVoerLD1MRuMU8aodTVI+lxw3ovRLN2ax9fToWdXrmJLnNNxrwgOem
GJsoi+ny0a/j5AzuvW9yN8XYhCMMfpKiGcwqq7jVp9wITEIa16x1/AAr+4VhXF5XzQCax3o87zrx
IW0Lt948sSlHPC8RkIC7JuKkf68S/XbM+/duerey3iSeR1wUSRvxSv5e1WMQpnBdjqNSyKGraaFl
LjxTNhHuMvE7h6HCmcnLwXHLWJG1971pXjCtI0CqDBlQX0Jv9vjGTTHoUPZu9mBGX8DqdJhNSIPm
Iq8eYjF9S0GPFDQ2zahVE9DrBKqjgeVJHMK0OANnw9WUr5JSJvlZ2czje1Pq4hxr7LGoT9OWXsER
N96+gf6f7t5LXrKzHOaS9VmWV4SFvFDQjE+mVvhjuJCs7T6MLfLMyp/bKt/Waeq1KwaJJVoHFHrt
G96YyayLALpkKwZT6unctJ7IIsSnlJzHdTbOq8CHbsJvHjB759MAZ5qvMZ9gzbFQ/XKatDLVcNoO
Lea0RGha1noocfX7xAmJ3/SEedkfOqBtG4kFySHqJnjfddMvdJP5AxWrCi77yVds5ok5S4I6kZdM
VHBwy28X9B6uPRnDAbHuvFG6WyK/lmI+HctiIOuhIwndDHwk0MIu0oGskqIpa8hnpZxXolOYh2Wt
uuDFWMWZPC9w0JNoAW2PK4rz4XxZvPJVVw0+WRN/GJYwi7t4eV8EWc3dshCb/dJWqgd+u6wjCc22
kKLsMl0St1MrxCa/+PBq8DV8TR3NdROX69ofs2hqfeWY/RHL25cTMSw3uI4YTWtoWXkhSrB08ws2
TQ2TeIYsuGiilJXXMcnfx1w5Kl0cwnaAMdJUIJCbmjjSsriIaeDW2cSWi6cD0GoCaH9F8E2fUxh7
Mg9lEdSOOrHSss5PMMth4hglKMvCKW+/sqxzy1ix5eQzOJs7VNyvIzOb5hUc/1JnNe5LNz+MLS+f
MuWbCjEdJV1OLgkk33CuwPSfnPwwtrx8VybDMDRDHeUiMb92ol1gElGJ3lHt1j4PKhUsHgajsqSk
0wbpyiwh92jerp3kt6lefdmOsZf2dQSDqq9jQy6op92OXMA9UIebvTFjN7Qzr6PUl8Aj6zWfihWW
GfrqJru14wfaLngwqImKVi4i5HWLYcYuEHLjYhBkbfqxqYrAnxJIEOBrtUPDx2yjlHJMEGy+V8PH
OFsSCOEwo+lWwChjq8Yb/chNOda2H304y0xVVcNJ1KK4YHigfcjajrnx+4nN9tJZlQCRqQZPVhl+
kVbY/x1q2tmtFYys9IZPZbuUGvJVaGVN5zGJTcT9njtueqsOQbgwUu0cfKbKZKXHNglNX5ZumLUp
X0EXTGaCOjny5gpfp8A2v15KU7oxP4lN+qIIV1ma5U0EX6MyeOe5rIKVH48jfWB2eMfBN2ITv+A8
aByzQlTRUgS4u2pyNdSrmFeoWY+69q7gRNgrz5NFtoYsLperREIxepp6lNZu1rf5YXCQlvkmg/xz
nNtUrLwygwsoyrRqCrcy2iaIMR8vULPsPFPcB/GLUiVwd8Lczr3v1p2yKWKLbzo4koqqCO5NV3k4
jdlIwiwng2OOEljwZnopuwrBB8wGAW15MR+Bvf/ZyXXYLLGiL+demqWKmq7SqynBX5eeugpuITtp
l0DrnJcR5LanBcovENJuLYBvZxz3qOil5/nJCDeIRD0Z9Cr3CIwaxuWdm1KsSNynRZcE41BFsenE
xqQoCUuqHEOlzRMbuaqrCiwaqW7y/iizEX/uPAg3TrLbRDGdkaomVVBGkK684sPyomiTB+5y2e23
I6WizRNLJpgzsq6uIj2h9CIoOhEmqh7dgphNFRtzpsSQ4zLCuaiTMBOivUi5qVI3mNqEMSKnGrPK
LyNOq2zVSnGWk2B2iwM2ZaxrqiSJpaoiSdLxUnclWfE+G97eb9NdcnxM8VbiKcd8HsYA4nuxkBay
Zl8nclP4QV1vGBRGlVOOhW3uDlzPEcdN3xXR0vE/oFB/WfL04/1vcHzr4N1VUvvzATL4MBqE41hw
QrCOs7DVZrgecet2NwDcNHq4vIJcuUrjqohkI2Lo7mhxXjJqnCCFd1/+ui98jTIzLR0IHycp1PgB
akK488HNHWCbvyPZwmeqodkRjH0wrysFw99VVlXZ4FQswh0Ah+KLYYwbSCOKKEjZvBaJ77+p4fCU
k6+EBvTh6jNTUJGPrbdOgmSqLzI/8F8h1FDjJD18veXh+mJmsWA4qSPf4L4JYRdlO3/vy3rtsjXJ
7mtp9q1bekq3g1TgMCl6b3r/XRLEThsHbiM+XBquJOmF34Hs0PKla9XBfGkxQeXkc+By3cPVK/CQ
Xg5U1U3Au/jdMHvN+yqlbkfs4Kq3w9ULVQXGR7rYJQbibVNiGvWKCielY5vg2EDLy4/LHWBTaJXV
rXjrkUQ5KsYq5czcV7OZVQG0FbhXbAUnYttPSyHr4YH1vzUr/uqPsU0sg+/JRRNjBrwZM7R83QZB
Zc5UPrTdKRRiBp3CXXpMr1taTPWlN0NVcNnwrC0/wX3i5NQwtJxz4s00lEts4PqD2cvz12VFJ7Qq
23ZWqyVJ4+WPOp6VOa0aiLkrQ7PpMy4JeTE0WX8xq3Q4xbEZYQm4pCIN/VKR5SoN4HzL23x3kcRV
pUSj11CwkQV+242r1Afm56usSb1lDX+t1UuM4npwSiSxTYgDXmOLdgeSN0kcZK8GmctLpFDiFmCx
TYmrvZzW0B3NIzT51wy1b2WQvHFxANimxEGtOZceG/MIL8CzLRA5R7V+6KaL3Z47tlWswGeMVyaL
nvKobeAyjfNOL8W4ljOwHtYjVAjJOZOsSD+5vYkVBoNWwhcDDjSPvMZjG5KPxenSFMkHt9UtT5zO
sYEaEefRUJN07cXLxz5DD+npeIoDX0J16G4CP1Em70wescKo98CqJq9FmkzbKQu8B5qDd32E5Y39
WPIENW2+0RPO2Trt265V4dBBs/1cjXCi7YGi+g6T26w5oCckZmBFsklUn+enhk4BsMO8YqPKRaAV
MLrdukrYJtElKfRO4q4ApVXIA6Ib+wiOyDGn4lbHzYMLR6ARUOVRAOO4Ho+nPQ7e3b+T7rCETaLj
GLicC5zBXedJy/tzWWh6WgsJc3+WDIXvxC7AfPfpeyUihbWZUtyDazrgpj846578JlvudrQVvgbi
cHU9y1apucsizml/CpxrEcZp4FaswHcYHa4+KGhFYhOkkSKCnDbDXK6FVE51HOYWkH3WBEXBi3gd
DOrCj3FIauaocwvGM/YLXfew9LKQTSzb01Ihp/oQ2xy6GW4qU1rm8TpX6AWn3ouWuXXxsM2hA1rh
7iJcFa+bbGwvMq37yKP4/f2bfbchjkQAm0IXU54OM/ZgsweJ3jRNR8JZFuTUbXULpb7Mu5j6noq4
0s0LYL1+bJPZ7XJYbHPoEsYTb0BGRcWMilMj++rMbws3Kiq2aXTePMHcsOxUpLKsXTepuPR4pzdu
erHgOWV+azSu5boviZpOERo/NF2euzUV4WvfDvGZ1rJvC1LJdTW0r/KijrKudgviNpVuTqcpKRNI
pIreqLAylb9aCvqA571rM1r4HICdv8AJPwCRHuoQWGOrhsGNwm46twLsApf06KFvFJxaKudVlTR1
G8ZdJd0IaXAh9aHSZTnDmYucSjhoVS8oFEXcvainXLmdg8Q2m86wKq54i+W6HBcYe74FFsADmvnW
qj3iBGwuHWFLAJdTJWkUzB4eXviqpHDAKIHLNq/gpqQ6UlQuOOTtUNINg+7auGr7nA5whWXD5tPW
SL/dLE2QoG3JKRqiWGDFnTrwmFhxspA9XiAr/h/OvmxJUlzb8ocaM0BoegXcIzzmnCKz8gWrHIpJ
AiEJhPj6Xn6fbkWfOtUWr2mWOCGkrT2swZ16vtszbTxEf5PxfXM18lbhh4ScHGr07kSC7oCy8J9B
qdz/ZV3/YTu/FfhZwwKZHB7dKfLsKMd0tBUf3xmfrrY2f8sfxpUlZNnc6dCQaAg+/pXa7n38IfIW
dpMcRi+NIuupBWK+lqHrqjQHfetdJ/EtZOIA9LnpNwRTbvIfTpNPusvfR6mEm/Xfl6XTqNhnU6yn
PrVpuZu8OTUNoDPvevO3kNA9WTKIwPhrO8n69tKTVKynzo1uqt/3A292+9T3Hs53Ha932zHclnFY
p6qD3Tr5+b4feHPzWD+ux9aY9bTOnTlpUYTayOJdYw/yFhOK+oESQ/R6yq4idIEukA0o+LvA/rBi
/vuXNXwrXOPx8G2F0rdyxVLOKn8f4JTQN1dP0a2QZlin9ZQPmanImA0lOrY/3rfob66eeRTweyGN
P215p0uRJGAT7kX6viTrLSK0BfA5LRLiTzNgXuU82vZJceJf3/XubwGhRTCGZGzxp0RiBFeMR3vq
I33fwrwVoOttyGagAvwJiqb5y6T38QdLD/6+nPwtGvSgXVj8ihA5TUxV0DmHPFHR/JsEz/VI/odL
863Kl8rGJR9nIs6sUXR76Vbd63NkubLnwhrcgu9a/7dgqmYjTZENCGjwJk/qLadtNe3r+8BU5K3e
l+ka7j3D09t26msBJFUl5/jrfa/+JpiNA74A8Iz2ZHYTq14vQ+10875Y8xZMJU2Rek2pPW3jup11
J/ISCsPH+4LNWzBV1Cg3DhvsyXeHOmdu/HJkA33nJ30TyY5OF8eMXs/JiI5XWu1DBUjq+2D/mOr/
PU5OPHLPRWNOiU5sNRxmKomJ71NuAgP6709vikLZbGDm1Pulqw6qVSUgLf++6+8tBmzNIlrOthXn
YZiOz0dq9tchnf5N6/16x/2HE/sWBdaQELIVYOUTtRn4KNcYb/Ls33qE//T0N7UuHG7Qro5SnosE
rfMt+Tmr6fO7DtJb9NeY5VkDgwt+hs5Xo8rtAMDPd7v79r7HvzmnmZrJfKRWnqnREzCsw866B5ap
SbzvrL6V+zJOrEicjDxLl5WDzO9U+s7L7y34C0Jci485Hq0LpMJXPMT0PkAieYv8goFC33R8kefj
Kn00hqyoik6E8n2L/uaYDqnq/BHnooYK1+1kzUvK3qcmCL+sv5/RlAJURLQuagb4wzAlD8XUf3jX
W/8/kC/ICHWWTEWds1VnN4VR4F13Qa9f3vf8N3O9yWTLoNaZn4s526FxXrji7krV+zc9weth/A8h
4C2eq09GU4jQsLM2ibv1zbbpJ8fTtj2Bp8qbS6uP0D36o/n/KK7/pzr4Tz96bcX/r1Yvj3kzbcOi
UCnsYdqrTPUqN6dxxKlT567ZR1Uus4afTDmRBXf7PkQ78cusDOv0GYX1MOpSHeMWL10Tk+ZPQgJg
d1MKSOtYkiEeIZQoeMzyMMJX2zxurgkZu+xJwZextIdqk75MiexJW1rPDYqimeHTlVQuc/unsZ1e
s7IYea8v5Bgh91xHFPS8reOyBVuNkQz7J0jIha0v6QgPHsh8x353U5nJNWFFKSO028fbzIwM2vQa
PUuvS/AK1IoXdHyevphcI3cc+CD+0kbjn+26FFvNAPcl5YoVGqttC3l/c8R1Zxb1MnHTnzOatnwt
d5ulWSipYG33x9QXo/yp2xVOPCBywiZel1D7GuK3K0jv1hw67uUE0ShXhdC7bKw5iJPN6cDIJj8l
ebO7qhHYabLaWIhU1/l20PQ+ExuT556uhwYvbJnjLWT8p4ozs7HHIV17Uac9CaTqOFuQhQktaqEh
gFvuS8uWCfjNYe7a2kuUWLxCh2RvZ7zZMlleipxx8Ea2/qYpONJGxBKm1zt8rbnrSyuQ2ZUyS5Su
Vz3l3xevWR3isfOfa39EcjZ2puPTYXPBXrsl5/yJ+IaQh6PpxNrW6gBHpTjLsGZQRDgYX9UjGBoC
38v0vcHLtekh2/WcQtUY2ZhO52O8jYzs4ccidD+31byhGXzhYCDJz9nOdxcrNRVwEmtFcpWBVKua
QgIWywHQFhR0+Lqtp4hvOc+XnKKRll/YOImuHNkoz2zspmpme9AWBWxM3HbNLDd3n65uPAWLGPXE
5nYdPu973k4C22HO1/NAqNurue2KHCqxXVQ1ehyd+EN4Ms33cj/QBOpouu62DMajmV9KQXmODMp7
QkglKSHDh2wUlp0hsDLu91MeMnS1Uw9ttQNjZr+14G6l0TEPJCeDyFqq1h+5SsCZsRsvzCdOdSbq
rnF0+IE+iFA4NLqYt9oNdHZP45q27DPgWYs+D5GDJiTndKZ3B03y8SHrwnj86ic1r2DM2GQunhYc
2u40mS7mF6OzYfnaJVqkOcLb2DJacl1I85R6P2Y/iqFpRCybVur2JoRto3ep7Yv52xBYpBU071Ow
0dtAMglpZ8rUz8aHdmzLcRnFD0rYYr6CXX50FaZLuLtAlZjjI1B9TuA/z0nxcx7sdlx0bmL8PB5p
llWmw0n6ORTY5rftmB9PXqbtOc0XMTwLu3J2SkVvuo/L2O3HSwBHIk8wiYZugKivSsTs4oKfpr9G
TG66+4EtJN7M86CamyWXmb1fF3iVV0NBivwPwfJC/srC2DyBQp7cYYx0/AQ7RJdDoG3dQiAoqff+
EOEOJg/bcQvxIPJNyb6QtVFgOn7gsVPTU9Y2fXYJc7/GU7J0w34ro03ZDWf7mH5NWTM2H7tFtqYy
0SfQRBxS6cBD0QxGftvhqH106eHTCzHMqC9w1mjm55VK3p3Tbpx57fdhQ+wMVNjuDPx0Zh8XubGf
CpoAU9WgSxOeuz21CCXdvIcTo7O3bZ1iWrXdjwMEjs9NuxowVBK+tZ874WRx0cYYVvomsexH18nB
VO3kRj+UYsqaFOZABdkvTmnnax/yNKm9m/KsnNQRzB/ES7xBTdM2g5zhjrfok9bZctgTN52mqyRP
CUG7Y3xaAohpJ2ps+J6nMTD4n7WwiqxgBcEekS61vxscYV4Nqst1xXSg89e4wJ8RAkdaQ/KsJONx
9JfgwZL9HOFPZ5uyWzzfEe8PE+a5HDyu6VCi4725n2HdCH2FR4bFhTBCrUZ+VHjK9UMav9oTTBwx
6TxNIde0BPdzojcK/s/jadtaomLZZl4c92F3LTqYO6yf5G3aROSIYLJ13cXBBi0pD9v3ySdGR5vX
XcHWpHbplsmax+MYXm16kOF280eQN6uek6ZeQt7EBwJ3rZc0c0P/CV3kPI5lr5SXZ6jGt/5Ojqhg
niK6EOJcjD3uO980dAHOu+j2B92mw1jNh818VRjLE/AWrGv6APbc4bKPPh01yBhT4f1Lv6c8v50x
Mh6eZijd9Uu5xQION9AVL5dgZXbJiHT+mbolmf7M+12oB6aIwx6bOq26X0SJAztBQ7LNneZW9NsZ
f9k+nKgeC/eFjVvX3Lm2H8gFJFqmHlebwxTrhHCkWA0vI9L8PiCVDE1z1w301s192wLbDBIT9oiA
jtJdN/hobs2gCTDDOTDE6ckZuB6Wm49T/gm/KV63rPP7dwXReHDSZd7NRbVAfrGtEsSnptobs38a
cubJrZAGXBc6TQCr6s2KpIpm9fB8s3PYQSDZeFZhoCC6F7wupc97iG1/m0x5gclR34zJ+lnrY57u
AN3tDmRF07H/xK3hphEaqWmafbhOakhakW7hx+ORykI7ROIjNhcx4NNDaJbBEewhICAvz3C/cPaS
+k76290zSa83995BE6DFMjpXeolTnkKvrj3Wtlr6EOMHInclSziNCXbmhUZ8K0cSBvuc+kwsfx7W
mWIold92eokFSfenAru/+za4HR4x+CPJ3DyPaI2Hj2LEIt4d+WD3eiIr9be4/xPTYnFzvZ3CwXlo
kTz5+cDHtO123sKY6C88i16/bFiz7W4ZgMB7Hra+66ti6Gb3bTc8p3/onEehSyiEpZPBShHV/pqg
mZq+QLW+kH/OUF4Zvy9qGXPUVxBEJJUe8oHfau5dRP7WpYLN5ZKsEVeh2nF9INuDZCxL6MZrB5GG
OQI2ypMfUJWPRZXiUh8ux7qMn/mK/X0a06BY1e8H5i+aT8VXmgMXUZEomqFCLVpwWBbOfL3JFads
K8me6uXJdEsHynEG+c6zkYOaH4k2IVElAwPrz2Fe/H6mWV9sz9mUWujvYs4qPxdiCt15U3DKeVny
jnwTDi4vtSsatAJEn3j2FCfT8HNqh5A/Y/5Epo9q5O64z4ZpmREwC5wNwOIBVBM3I0RU7WOjlTR7
JYqifYlAviTVznq9fXRHWECIBu81DxVkDJux4jLrzfPo0GMqO92q5UQieLXqDIpadhINmabapk2O
L9F3KnssVnN1cmXumvwIoH27tpJio3mt1yXN1nI89vh1EAqqSeWhQfz7bEBuI6+tY/ODnVZkXFXX
DkmVDVCFixWi+1bywIj/mq+QPbhtWTC47/meIk0nIPAaX0ZSJP7S4xXSD+s8eV7llC31GLt1uhl3
HPU/aGrDds75qDI4k1hInmVFT0RNFJCYpSPZcZa4jIIvLW0G97QCOiWnSjPN1cPomvgs4tUA9bAH
uXdCjOlJwMFmxzWKlKO2R4GwH9SWtJeRTdR/XlWTbR8nu2YV2tJL/j2qJmxVE7riFukabC1HsGhm
TN1Kuw/dbecNhDUK8Kpx2ZLqOLw05QwzJFZ7m+a3LfKBr0Fzct9CSkmXTA6Lq7osZy00W01eznMx
sDsR2virAPtneMxxdPTNMbhDPi5Jbl/SAIlXlEDEP7Tw8j6QO2WFfdkSAyS533nFQCN/RAsdZG24
ixKokYPJ+xityL/MIWlPYz6wsdR69/fbqORzG6CgX4/YxhXd11DlXdPfFkUhH1bWxrs229X32G7D
J0mUrfqUfVDU6i90kJMs29Q4wE5WNY5Luae9DK5ske3Gc4S9W7xlW96+smw3d36IQtbYzqzSx3rs
58kO9C4Cvlh8CYngn1oVgFqocz/x5LbRfAuqbLBzBWjysUt/9b6J/guljMVy6/UuAOXMthDr/qoH
cFFxPyCbImwWDZx1l8XlqGN6Mg91y7YsuduyAoRm0KdDeme7rJFPLtmdP2/g+aevB1M5q2QsNn+/
Foa235G56uVEfZ7kt6Y3ffEw7JuCG2s7baoMmbHilazKpM8LWYk5QaYhTpAkcKy7zMkm1R9JBy/h
oaKxp32duqHz5Up7pKLSr7yvrEKOEsqGJISoMtK49j93QcnysO3zdvyAKVVAOtR5QbG7Fc4WNeUA
wtBwgopOk99Yofrhw56h9j/NU0H02XPEnRoVTcsvyxV+d1q4zskzSDUDvQd+lmR1JncqLxloU/tf
PfgB+nl1Xpi0irLduju3OJKyEoIiAhOpY8hV/IDSmOeoggHZPO6dUw5xoZt4yB6NxpH8NKJYDX+M
dJSXYsZUgjgd+B+ZI2PyXWOmhTJ5nylcCtGE7irsDiRLZbNuiO7Ornu96daKrwycfv8qAmL7N+cW
mQ815UuC+6qZaLJ9YuEY9rZM8pyT0vvG6ko2ROVP7hB7/KsA3V/9sj3YbCcxwOrvY1TdLiE4QGf7
Ao9nOu6naYO6643sk3x+YThliIgpsYtAeOp2jmZhN4G+fzuQtAu3ZOzGVNfFYZEClAom7i1k4GfU
H8j4hqWKm7nmIrBx8eHD4K1tw40c29G+KpfM23keEi8vzsmV4osdMth6ydW+fR8lBReJdaN0330Y
l+1s2lQnlRzX7L5f2oZVC2aP/iEOQ9Hik/AeZECHLntlzbYgKV0Y5GRe1wMquRACWJqHuc2Xm9Ds
4uNC8uiRHdDjMM9RKVVa+GmWIIW1K4G/mBjmcwyCxqqFBel6OYhDgdbJlZfOhzkxpV99cB94Fnj3
1wZrE3E6xjTtahau92rZOnhM3DZIsx96SHNh15FMk7tmgKfpvWnj/FUKLEJNvC8yVaY9psyvTh1D
giw1psnNfmBf3yAPyPidxxUw/BkC6W9QAmTyjxkS57yrqGzT/qPZaNdBEjrTrF9LbDJKKoGoGlHN
JSDOHbzL+icxhPSoLA78lzGj+qSank04as16N6foYDyiX0Hoi5h2Nt6Fzcof6MR8Q+rhcwZLFQYI
+AyPmPzjlLfNd+hZDH3dagTFfrDjo/cpMrMDAiPhorjoKnNEGI4AQZ/e9twS9bh44tSjbVZ3vxoz
D3/Cwdn/TpbRuXpfE3zGYuev41pchzujwN2+F+GVIZfwdXssyNWBa/J7qQLXZ5CVJSsHE1rkBoAt
bDC7Ezv6tYiEDv0dPzwFAPphkSiunR4Qv+3riGSszCkQ6Be00qV7IItYkhfCAeIDKIhP7XbZWNt6
hY+yxtSB0d0M/WlPiRj4aRCs/9Au8IY/ZSAKLH/tWz5uVdKhc/UdcgdwkLVUuOI0dXnMsTX7/JPt
UY/cxGlwZT4ggJpyWy1c7Np87X4Kql3+SsLabVXULkO1wwu17eWwCZX80fdZ80NcU5NbsYNl/iUy
89uPyhdId+WSIZnVxbjeSniCiEoyq3/PFEe2FLDsqGALkhYnJQvxP82/kRxYhChO0LdsCpQyMFU/
7zkP/JtpEwn+cS8bdAYTqaGM5AykOGokJTrcUTbPP5XaSYY4V3TD9AqlNjlUue0CuR18EX+hdG6P
e6vy5rfu1CEpDLrjlj/oLhTLl6RJGf2dwTKD/kJp2aEzMrT0Qc52ROxIu1jlbbaEFysbbkA1wmyp
aFmbvvQJY+hmI/VI72mAoOhZbpbl9e6PlJw2trmtVHrdP0ETOSu+Giu3D0lSuK+i4dkXjNv9cTM3
4FvcJjMK413pfTuxQkDQ9xg28xVrPt5P2QhYGxvgkA2Nk2K+zJ2US0XNpENpkmb8BqbuXi4UPBlj
isDu7W6SF87C/sjk0Ynz3EBi5KRo3G8W2ErcZEallwI+xoh5E3GvnWxpfDbtDPbwtkHvp6TL2vhP
YYXE63docKA4czEU3Te0hgkv2RaxDnkYBoQFSTIyI+Pg4B+L1H/pdoYkkaCV0LbIMgaaQB6WH0lt
AYOnJypa9E0C/M/hU8Lt0d/kJjWvkF8fxo+5mEEC3+HA8LHHi5Sk3zKzVgjb0YfSojdGns3Y8aIi
Bq/zZZ6bMJ+HpRm6Ki+4CT+uWNfLPCmt73fOD4XfGBP3ccyKoJ5JywMSttiTsxAmmW8BoeThA1rR
0wlhYprOltLB1Xm3qQxwOTi3nuaQIohAB+YO3wLtiMbQ2aDcDgAtbzH6jy7phq2a6JqpuyTZ9HED
+bHjV0Jhm1QqWEPet8e84/g0AssxhvQ0ymKtlsWHOzJnSDi7frqPpqMfgV5ewBCAviP6HBBqIAVv
viUH4ORnAYZM/II+077hInJp9ssL2+YcHjjjgfaAU6uZLhMmFP337licrvClQHgXY4fMHBFTbbrq
lsZAvxziRfIREmmCVzIws172uVhgVw/fbHiXNhsTfZlQyB6egyTXQ5gMW9vCXXFBxYTgM9bD4WS4
eJAyZJnPu1c4xph3/V5xdzYXY33a1hsUtVMgMXVeZK9zgQyt3oK0XcWLjYHr41kcX3sGpZc6hd58
/02hoVGUelq77ku6H4gebZKw7I7xTNNKy1zl9Yxu2FbN04bWVgle3t7WA3hc6XNhFis+wBCk38oI
FWhzWmND5zLmR4EMRprM/0wsXBVKCqqH/AAvm43fdNEE/pPhjwpfHRJU9kBdpnhVKD7mL6oNKUST
DYqCrndaf4wg8I/nfHCpjiUF2X5DA7ObjhaFukfLAZt6R1IIX/NmgRm1dM1jN6f9ccmKdJ8epUGf
tmSGBOilm87+Tinpu6f8aCZAQZp0nG5XsSX5CyhqnOFMWXIEzH+maM7wbwz2DHCR0RWmKnT9MQXt
EhgkHl5cEoV2yrdU6esXYih86sxKM4D3hwJMP63oH44V+BXerSU0h7L8PmU5RXFJfTLd9sBZbD9C
HqWrG8YafxMQr0NtqTHjSREiljqHI40fy8Xq2J1RDSp53xSQXwP4Ul3tweCWNtdD18v9rvEpFxV4
Iq2kNZQYUhyovtGYZ2MUOrd3bNvJgZzFm+IWTYIZ0/oFuV2JPmw2luDmHUO9YBuoc7Gv2fKb93RU
CWqHrPCkbAlETP4yo1bgc42YkHlcphp5YlElysoblps87pcxE0S8QjNa+4eA0n43+MP7YiiQg+xk
fqa8V/vXBH+NTMou82Rez1c1axSkmzi24mm9VtD3TTKPO5Iv4GUhMBWbtn2OOnMoVuxKGA54MaJn
xSvMWiiq1dRpOf3sI6prwKki1+lv67dkQTLAKQqm2YNuu8GtZrZ3Ts6reKYIHi1SRTEcv8YO04jv
wxDm8Vy0xZQErK4hE8ySme0/FEj3cZZzyQt6NkiNlt+dKWgQpc8k1JoDL1bxOUN/rof9C/r//oe0
xTq+mmSdk5e5xcDnw3YtVKFYEIXKK74t0DUGbc5Ydek05l7YJIUhZ8tR+LATfBTX5R6k1JaG6sAM
aUal21ve8zqlzIv7YDBJekB2LdgD0qLCfZrUMNo73pIwX5IVZubfSZo2acWuOdt5nXWylornIXmY
Uwg8fUhWt/aIcZChryQy4+kUVy3sU+88iC6apnz7fCigyCqROgx5eqImSMzYNvE/BXOm+UyCQ/Cf
4G8wbMddcsBfGykrdA3VJZiWRORT8KCuMr779TbOkyS3Fl32cKNGdqSv6CpSetePmARWJtUAAJxA
3UytqLE3D/S2rh215LzYPF8rwvSQlDhzj8y4WGDWSCGPcU4zQKuXc59kmPewCSOeWCpYrIkyLruh
te04LW79vsrj1hR7kk6QdMvDKtHTa+GVNq8yGx5oZp17pQ6q6r95W6z6AYltz8+Kdqv8FAJGM7Vq
xdCCnQhw6ks/TYrdN62axk9BYGHuYy5Gd5eusNR53PCuOSzH40FfhpXr9m4frBy/oNDrm61KV2TL
Sz3MQqNtXUCjrU+rFYfZJBW0P1g0NeaAXMjzCGjwVcKY/wEFw9RllZQQwNQnjVGQWy9IwCwW1vPB
2Bfc0xMazwDjYJSG3E3GTwTLDnKVpN14fMH0pNnPG07yWR4Hf0ARzZL7PGkkEjuWQr0uv47xRH6T
DoyZm3HgC3041AySa5bH2f8R+lVCtGJcIR1y9q3ZY1dmgVGOGWcO0FW6OLFVDI0N911vkKx/mSG7
4PLzVeo1Q09jp3BfF/aQ21BJHcJYR22vjnLesSdqm2K6FCCXh9tlMiup2y2a6SF30KlBizTFvHWO
lq/nHk38rExcliVnzCh9XyvRSpSdZnEGGRLRPflz57B5v2+Odtg/QpKh8Oi9d409fpGJkvaHGedU
XVICquMlRdd3eQRB2/rPCpLUyG0mWuwPWZG4+Fdc6GAeYmwThwbfnovqkEhHSvSXV8xWeucA9lt8
8bim2oXKRxiHXixeYajXI8/HCth4hpl5UVwRjZs4S4BJn9QGZ+AvaRhb92j9kU13HLZ3x/Vr8wZc
B+kjrNsdL4YfaPMlpB6oSIyDWCvqmcpN2O36hMx6xAWJQHot84M14VkmdiNVTJLM4rCIxYIuYeh1
BaVBuwqZhKXy2fFNJWB297z/tV7vx198BVMd8ga0vSyzjFmZIt6pT8Ta3OPstVQvvjTCgeiPFhOM
oniX9mlNcpoAXkPapXnKO+7DGWEUWoibmvrttx92sz/MB9f0q91XVqB4WYb1LkZ+7F8F12Z7vmo4
klun16bUELtZSmSj7bVZbvYNdy4GmC8iRsnvXAemwRMGJRoaDMiND7S2lhFdKwrjyoL6P0FcXUQJ
YlEeTjszI7p2duk+AiaRISPaYMr8cQCyEfciPDag3Sg30chXblIJcO+UYp613UyNXWZf9uD7FeUs
gCMgFWbfdv2NRlKL5i0aNqn/E92Ko09K5pG+DiVFlPXoIaoZbI8SIvWoO8876KEwB5r2gnV/gGEd
V1uuASY2y43ePO2HKizQD0cemrKdZrUlHaAc9f9x1kOeN6HiBpMq4qsUiCBXJsIvTQWhZPKF4H8n
91voWnOR3bX326L83s01ZhbN85w7e0K34FiBa02a5PJ/mnVP9+gKdQuh7n2vUzbMa3nEjj5jYDWt
NWtA/n4fgumtshCLxaTnyalTKr8NxWe2vQ/P/FZQiCqyYVyD55L+o0DToqfvpNC8lROaIXgom57z
M67JFE0kuaWPDtHa/QuH9x8EqzAy+DvSB62w3AORhslEgvO3dHPv73VIZsgIOmvQcMq3AbYAXC75
y+7QukWBNSRpNSc7vtN/h1BdUUX/CW30BljWYkSz94nl5xlupqruwSN4BHhwqZCvYfyIWZy4/Pdf
+icw1RucmV0cthowxWcIAiz8k49zs9amRZ5bB9xMUCeFIolCVrrH6V9W+B9Alm/ViQbgw3Cb5PTM
BDw5PGRnTgt6zf/yB/3T09+gzwwc/RzvJAVyRP8YbfYahGneRx1J38BDkaYv2rQNPUfYfpSdjZd+
VeSdD3+DMPNZ5qd5ZfSMHvQJg9S+bDJ0Hv/7Z/6nVXkDD232rfdU9uzcponDnb41Zdbh9n/f06+/
+r/AcfloCNBBWJf80NDm9RIuk8f86b8//B92aEr+/nBmMx3MPmC7dFzmvxx6SqFKWczhKyRybUqz
Ao19C14JNe+y5yNvFWE60f5f6s6sN3Ysy85/pZDvTHM6PGSjqwGTwZgVISk03hdCwxXneeav9xe6
Ve7MbLvbBvxiVKESWbrSlSjycO+1v7X2KIkREmvWoYpns27aU6Ihr/7nP9D34fq/eLr/mgcjk9lA
FgrNdW47EQq0U8wjwxX+83PWOuvJpPLm/ylMrbA2cZU8JEv8oHGniW3Qxn1ErxJGPtsZP6fBYHWz
20lKsl/f3X/7mP4l/Fne/vo+2n/7V/79o6xo9sOo+8u//ttDmfPff71+zv/8M3/+jH/b/CxPb/nP
9q9/6E+fw9f9x9+7euve/vQvPnV5N9/1P5v5/mfbZ9331+c7vP7J/9MP/u3n91d5mKuff//t7TOP
ixVNTxN/dL/940O7z7//RqyS/off0PUv+MdHrz/B339z4+it+Y+f8POt7f7+m23/jn4jaKJ0Vdew
xHOPjz+/P2L8DkIvdQv9RWA6uiKjBRtPo7//psvfha5Ky9E0R7d0eIXf/taW/feHzN/5DLRVejph
SI1T8J8/+Z9+N//+u/pb0ee3ZVx0Ld/Ntx343+8laeqqbRuapplCsD9NFfykf3wEa+Ig2sLJjU0V
aOZDEprLqp+jYo+y166GZOo3A+kwUZpPLjWx/RrLPD/qpuhrpiZAnJvC0SwkGDN9TqIoPrEI3LrR
nAKelpdR5LgtEjHjiMaynvVlpPIdaamOQRqVrCTo6oLoyNnahOBez45hlV9LKbvnCL2N2DxD786W
VKZb1Q5RQVtV8cyazn1UbX0/NUwh+nasD2ZblHt2+LL+xSm6Hf2EnFaarhjPirXo5qHq2uSQZI7R
urFtFg9pHCzqLo1N5aAm/EWeMJMBq501WOCKefA4lQnlm1DEwSKb5wdvGVjDREEz9mo5x0+MjtTH
QMyjs6Ym5msb5QSqkiWckWG26J9OGDBLAuAt90zew7Wg/D1d8RDiF2nGj2qeILA2JTsT8lLmEACW
0dwpFfSTm/fxfAfzlqwHYIubwjbTwVVTdglTc4q8P4fd3H/BESv3TPQCRiFxML5VDHNAG5VgAKBR
5voUTamAPlKBVNcBmT4Ws8QhvWuXed5ZQF/rfkYZc4saITwdUyDTXpZHCEyxSzQtJIjHRJfMZeJs
9V40pEcaX1GXyZofi63JcGlms02UtO7d0lF725s6ld8ufbSeujT18Q9IpBRwBoiURMtq3UpNXkSp
yjXL9ZrPucvimKsR9JteSYyPKtXGV60brL1SJeFBRG15Z9mz/jiaRXPDQDIRXjSrUsGpoCaKz4bF
IndTMwlbTyaW2PchGn+WTs4Z6LZin2FahB7RPPl+JtcZDj5hjMGA6m4RlTywRH30NasXP3KU6Aci
jrqLqRKRtyVUTb2LF4WOmrkipGYiJuekssn9XFkqvK5M7e5GNLZxFLXUd6qm6ECbbGLe9e2i524x
ckkRKNJ8qylOcheH/Wi4qTNMx2BsL7m6BD+cpkj3Smqar7LJrYNU5mwb6o3OZSo159T0XChXyMJu
YeZqUXoFDSFtoZMowCZlK5e1Bl1RuHa7GLt2aIkzMqxWx583NPdKaS3I2YmvjrGyElX9o6ryAOGx
zFc1YtlTbTaT1zjlXmXmxqKHoFyJ2Tx3KQSXFBgqnC7CIG8+B1Hs573erstSNuyHlNHRVO3xExn0
Q1Oa+pRbzaVuqi8nbgMvMNAyHdrlqmq9bjHHc16HKykqE7rlCgbp1rqMcQ+cA5Fz11tsErHWI91z
gRzZ2m5sTrPble2ymeDbO9dMerFvAK5H1Rg5EPLIWDlLlx9taVo+j+HwWKBV3Cgq8CDDD3IITbSQ
u85i4zE65jUIclGVaHRDZbJ/ANukhdsxGhu4XcPoIy04E1ecJvrklyChzt5epijaGD0Xx5UiU2Av
7JFvkk8SqluyBybgSRh75TiKDqV9tGX6GRtFj/7I0BYXneC26KYNgrq5UQdT9c2wBgBs5MKaF1Xd
5KGZx3BpQfAoubRe36GWjBWqN+pG3qzSCBAeiSas/SLp+jVz7eWGTlK92Emz/LDhlAxXj5vhwPS1
3NHlpreBbgdrxrfxVxWPQYfCC6LlgriyCmBmlB8byji5iw6eXxBW/VqZmbqtU6b6GIrSeDsHMQIq
pB8MYiv1m8YCazBSJ96yMKl5MfVGcDvMzOQDet68KjufjInhomZa86LA+e9lXs9I2ImUm7ZHQ+D6
t7cJ4PxAm2P27yzToanTnS1Z0wctTecjBGX20uhhewhDVl4sqXLpqyHdJYWd3iOchWcLSvesK2m+
sYvCuK2LYxV3u3wY5lu1i+MVbMPw6DjGsKYVL6CMJ1nvlrRSTmpbqNXB4G46jwivxyTihPdSNMA9
Q6rXwHG6V0m02VMd9+UNlzm9y9PF/NGJgt0LNfpP5dVoN+cQPPpISgpghU5a1irpO8Mn3dXxWmHr
N1G+FMtqDPrYN53+kM2L6UULkeCuQr5powyMeRy2Kl2WkYCPbMmXS7B0VKABENWz7UyGP1d0Znlk
GnuZgei6fbZUXmslySfIdb/TcDwDszErumRACev++nfLODZuOxrOdZin81bXKutDG6N5Y7H2q/Lt
XJ89o8gKdGBtYlhuGhiBZBuSemGG2WYYed1XTc2QQbMATdPxPnJaEbqdQiKgDeu1c5Y5xKzAksI4
CLJnhcD3xw6p77hQ9aauJmt9X5lB3XtFZGi7UDU+21lNVxg10necn2RZLWVSPYJLQdCblB7Fyqkb
eZwqO7nR7Xa23ZazVUT5G4BBzG2cJqfEbMKzUbUMq4MlCJG8RtBGBERkFDBGQ/HnsCjvJJssu91Y
x8tDqVO8uVOJm0JtG+sJIWl4JJnrE0dBuWzioGWcHmbGWTpt+BP1K1wXVtQVDK0mAI8Wdot0Xmfy
wXH1p6SR44PkqHkLJrJwvYKWHfdGqqK4ykRUj3JOsp8QmKlHuGm2yqOYeTB61muU6Lq1bZLaOHd1
hTDFITqFaGYsqkr2SyWGFycI35Hftzxa9oFlwYmfYz1xAei2Ra1d1IXf85yU435GZBMZS3dUVDQW
c43LrkiqWQcd4iHZEhouDiy9ti5DQRaG0vYs1C6cbmdHCUWHWNL2Hcz3hHuGXxTtzk5HZ9rUCS9T
hktKsoKEylaF0Me7MOCeBnLg1ZobDm6jYHwEuMb1upDsB5je3GbSnB5TKIoVzg7hpllBQHybmb4s
hfJgT9KfzBkTi6rbd2MLUd2MIfWeESfP2ozpYYB08JuhqD6B2NLNSF6CH1JubUGInBdE3PkcaFb5
ObT6tB4hMtl0BmZyacy43hKNRWGit1sAkugYlf28BoWuf2BHXw6TVlpfTL0xMQTiXOlNfMgVXveF
XmvvczETIxMntg63PLRG5M6DEh8yJHUMS206fQWBOh6XOQnj1UTK3mm2Gg6ScSrfAZp1f1RaxsrM
iTdjPsa3FmaXNcYDZy07LV0viaxu+sBRNqSi5p4WmBbRsdNnbi3tLZabE7uTuq0G8beaNfxXdkf+
tpyt9Fh3IM5zPx4pOuMVYKB5zgY92wYVxzr4I5laBNmx5uY4d3RsgBWV5pxlGLbrvOyu2H0Yy/sS
M4Hh1ZWqraNaOXAmwpPoWRI95DXnqluyLyv21LFPKCOcejlIuKs1Ef/Kva3CVb/CxdhyPwTthG2i
wrmKvmR+UWTBDAgj1554SdWbaey0n1KMYb1f8MjV8Fup8zn0tqatl4a3UWsO48XJhIT86pcbtVVu
sNaKe4rJec+Si8g11DYldjh2qOYAoFw7T+IZk4/WBu7YCOMhS7Vwi+uhpaR0gtXYJQdDVNaJE6Hz
RR3mRyvUB8iH0IhfkGmMo54reJqpM5dT05GA4FYqo5OMyvpSwv4eeV5FT+0F+tTU83CXKgDf7iwt
+8ZUtE51K6tYdKa+prqCddOa1aQV2WXRLB1fNhOt1yKN8qPRYpHxWKUmTkZJhQK2CTpPsUosURRa
5S3st7C8Nm8Dy2WkFC9eWjfh4oeLCsWTBlX0rLJf99BUFXB/RFDDPpSUGKzE3ZVplp8GRnwZPo/8
Rh8seUcArmlQgBGg4yV5kX+CUWjvYdXbQCapfO0jrd/ZtsN8z7LitPRgnNPICwqkX+bpNvlABZn/
K6VEKvODZbQfAMAhKZu0mf2JNdBoLFe3Qy1g75wMjyjJUyslcjRvZrXPhlPrDcGncx2dUXNkm9Em
u84hppg19Xp4q9fiq9aGcBsUpbKbkoC821zZqVW0NUV8WkpYhcGq8lWWhN1FHRt8HziYNoEgdy0l
z83LTCIgry2GlPmWC7F4wCVFSW3Id7K3RPGlzlySOFS2ujWpLr+I2KVFvlo3HAWzVfTsNGPmIYs/
YM+fXY0QSYWyw6UdHNdN0p1p5zGfjTYZom29ylVla8Sg5jQj70pgHFORgBexVmmBbHQZbv/oSv0Q
qrRmbIxCV8TztIILn920jLoda8UWPx+1wWWh4bIK4txg4D50ZBr2fJ8DuRiWM2KcJvoBfBOedHrL
h3rV9tEWPitaEXl+XnqZ3o5GTih2pC43PHvmpjICZ8WrhwTGcW5wQTq6sU8A+++Dyk43JhCMF9a4
7Gq1xzBpxrDYSlUYOJLblKJUmYcNMWXBHQyGFngA5rPhKU5v1yy56pqjNfdJ7PUZ19duMgkVrkCy
GOawNRUZPPWa3r+wPqNKvCjKaFiSzooPU3uljhZ9GO4yNclBosLKecrMfHrrjDA4tEztxLYJKpeC
RryEY9WHfgddmHga475pr7Jo4N6qwin3LcNgFMtMwuXFoT5jdsouQCvV6CqNaakbJc3avZSyowa1
YRwZQ1fPTM8uxsytqHb2A6YTceCAgcCOK3s7ZZgyKgbvtTVaPh4tDH+t41eaOvzUZ7BdqlPVPkFu
2lt6rKLjkauy19m2LYZzc524ZRMMP3iyYi8WFbRfnkeb3JqszYRVxRcxLZwOqLVPFn3adjYqgWvD
Wfqx3lQHnLgIDPiCxqcQWuK1xJi2ia2uB2ySrXy0KVxMhjRkOrhBYqS/dOn/17raTfyBH7P86v4q
rP1Ji/v/SH3D26tqCF7/mQL335u+ePuI3rK/3TZvnz/b6I9q3L9/gV+KnCN/NzWhO6rN1FLDE8qQ
5Jci52i/I4KZjiM0jT1711jOfwpyzu8mRjX+tK5jNZI6IvM/BTnrd0uozKL4ctIyLKn/3whyv8ZE
fxDkIC4dB5eMibil417V/jLC4X1XzTF03A7LW5jQF7XpWTJY7FaEKnezO019lmzzjNG5KzFvM8W0
i75elTLSd4ptJr6lUfMtUSEQ4tR06t1hivnf1mjj1yWunNoNYcAbMkKacL+U2J4L0ehwqzTZ4akU
IsepZc7Vq5WpUbEqtbjABlJooeWmIV26z2ov+dSOCNFax5zUtavBx2qoN1d57R3kN039gIUMzDPx
plBq6qG9ALc4I9nInErbqcSG6pGXPOvbemI3L8auwaBnKgb71tBrpgwmigUYltDCm0I1zDv2cWHk
TOtBmi48PodjrdQtnkU7V7+iGEezX4e2061MUzHvidw3SfCmy3qpzUzvaWqC+cOwlO62wpu6aifg
J89OqrF3jcYc3iIQlJ24srhuXlnxK3pZyzln2kRZlap6N40Wsci5bu2u4xaXFAQKPjtho5draGMA
ra/PL9oY2rDGi04HrqsM/nRb9olnLE1qwVYlJOhVrTRu9Fwbb8ZpUQ5GzslcL2a8nIwYG/4F4zr2
rMac63CNMdhwnoeuqHd421sNaYXoSG8prvg6EZVKmbkZxFG8AzcS6tm+XpfUZx1V66wTFhLz+kcx
y3ChN/gCrKp60bEZ+O08XC9WtENwLjws4aPPlzEP7Eaot3aK7+6sTaxbxesVDdo5lHY4uApDfy8Z
icPUgoI2slen+y5Wv5KZbNwCPsEbWz3AzEHDj+WWQJ5a09dg3jMIZ7CcHHmNBjBi4dIjd+s41ebC
DcWE7RSDk7kyYOovgzMBFCnM6RmjOHuEhdzHWnJpEzs8GdnwrFcGnaBVHBvuD892xKeW57tiaHbj
FBYbJWOJBu8E3aM/in1j6YqbkE1F8HDSvM+NStkBzqZeYphcuhogMzdRTZ2y2vdWfYxCxfSwcqBf
BpSKmtreAB3hKBvy+phFI9w4CuGnOZA9j46cPzMbK06DkYptP4AlAafMsNPI3cwSw3NqV9I3sMre
y8Ys2aNI9ICZisVfHKniDY7U4DHMpkvaVbWLLS3c0RYsbi1lsyf8wXBjhzhMORmAeWXyXmqJccHg
lq5DGHXQbj24xk+Zvong6GomlcQQOF6sdf1NnVkLMHtENmMyi/4hi6rboWo2w0SbCe1PKF6DxeYc
RFnrieW6+UvExuqKN5dCR/JvvHAe7k316kmQyqUoqp99H98ShNKxEVZD5uu6zoNol+eu4ykjJqBf
RXzErae0eDGhQTmMjAcTBMggxNxFVv/MSA3W+sK5VZYFai+JudPL6lARWHAFjGD7HKW8OjC+ZIGz
KI9Ur8aFdbrmymHLTReF0WboLhkKI9NUVr8bQItUd3JNmkqLykOJU7Sg4zmUqDdKGbvZLJYXhe+b
WKFg8aPMZOG1kYw3dpTqKnGSOHJEebG6INlnIgfXVTNsc2MjfducTD81puKuaWOYXomSUVn5ciJO
FH//nE9iizcKaXdQBvCKRMevapoFEFBWK2j2gT4/xUkHIWsE48lx0sq3QL18JxLig4zvr6o2jBXa
eb2frMBYR9ro+B02PQ/Db34rGIy4sJeMOjIjfS8rGGUV6Z0ffhTFrXklgIFSbYRjxnuIN2rri7m2
n0dHDz+rdBj/q7UF1neK35/eTkAuFs4+VarA3s5fk7fKEtQmidRoZ+sEqq4Cbbza9eJyPrdFbjyO
ZWdyxpVxugIyWtDC6fwfilqZfQIqtc+eZajJcWaDruanuG62im4FKsotv32vtFlZ5sIDy4qUjcCu
fQJ+c3oAQhF3AmRxPE/w9A0xd8uI/8BAJpRqgR+MnIBBHCqSA26WpU9vIzviiKqrgL2riQFd0+ld
+64YumKhOFnPIHulh3oyE2wqAY5dtearY/6wxhsnSNvdOMqZrNikOCwIx+ssyghsAE3ZwuA7e4ed
N8wG2IEIAwlC7QTdE8J8hekH2qpBoOF7HDAAdtQhuF9EspYT763OJoq7NNH3rBGBbWtbRETk7oAZ
O9tITbcw4QG2b4HwRX6UZmz7TmPBcvWD8pPubd63LTsAMnQ8LDymqtynKWlcU9mJcw63f4vMEV7q
cfYXo0nXRH/ATBVLn7hDopXn3IHxtnsFIrazxHOhVMZqADz2uqyu1ohiDK/UufMrWKS1EdqXSNjk
mogfOJEOg9O9lZ226SNiDQiiME9V8j4wa3AUzT6WWqR5QlmalZ0k7X2kspANfBzFM4a56tVr7Q2m
tC0IUnnTaqH7eQYl1sthDx19D6cZn6Igj1wHLvIWC/RWmoHY8VpJPbWzsqdGVmVAk20g8MrewgJY
tYMPU6HgR22Kl2Se2pWqV+/TGAmvaXDfi8Upthr35hnhQmMjtPiQMPL3pLs0Xyj4/antRBuuMam3
Ck4pQdi+3Wt4yIohdIrPbDarl8y0gHMwRzsmC5QGcaqWatA5lIWYnp1l0uDLcrV6m3Urfe1QFJaL
CBQdfbGSJGDiL61fNSOMTnbVGac4Kqz3ETrNTXGTGSSsGsr7EKVtjO92GL1C6+jMFdwQMpKDp+eI
fIYBhotzD5BVd/KLTgBg5MswXTYiA8TI6l7csIu4uelBXLHbxkX4Q+R2eK+awIpZwnlT1yPveXTk
lWVOsW9Ziv1Qk2FCU2lYb1S1qeR1MoXadiREex+zM0fnt6lFqss6t/R+LOpx9LBzGLGvNikUK+IF
ibBkE44E3HL31Ot0Ak0LObEqOnG84x4O4vCUd6HD5dQTXvtyWXytUOr7uUzyZ14t5s++tPotpVen
c0QSNmBUNb6jNGGINtl9sa1mgmX2E9EEk0+4TfFkiSS9SefUODHXG+7DxHFeCNPWHuLcvALEQXi/
KCklj6E2xeXbwq6xxNiz65hX08LUY2/Z43CIapOZGj4teYzSjNlv49TEGwdl6zOEe4VHjdnwpaFF
qnOavGYwwi9zMH4NVQ+xpWnDgLZXrHW8npxYgnRAJhrTj8ZAbnGDqa8jF0N4/taq0XDBCmS+IChb
Fb9R8lcxBYL6Ax+ScELstfFjSWsQSyaSr2RHJPc4vpw3rMLTg2ZOxTGhkWb6WujAqFThYmsm6pD5
Jhulw1/u+thYrA+wy2RbKX2HY32if/VFn/a8V0mCGD1z6uYfqt0op1FlYY7Lumf2FLMVJT3gGa1x
sctxpdL3f7KPZUE47Fr7+Zctn8g2xTiUqR7Saehq+KKDNwZYNiZiXiulYSrY8bJ4tZsmv0DKpzvQ
aAPzVh16f/TuY1KEYR0Hp91z6LX9Sp2HKVuVAQvQXTGN+o9OVnO6xe4XvaODo9vmQTbcVMnSubUe
5I37y+ZvU2OrZE2FB1zMcbXG6iE/gVS0I7x+T86F3qQbaejLE/M5ora0Tmu3IpyUx6IV0W0HPP5e
Tlp3ufqeXJQ/5do8pSyFbZyQhzAvCYPFFM094jVhYR2XodJ2saFhNUynHJW+68I8c0E9wlvgKKy6
2DbPczJx2Es1MjnFl0z56npGzm6b607m4iYSJwQni3YBxPGmXor+dYkM4z2EPW7X3PL1z7kL092v
FAKsiOFLgS8XNjyS4Q6w2fzS8WutfmUS5B1LkFZ1LCc/UAb4AKT1+om9y8voKQXiS6aoNgPMwB59
J7UBuDuFVS/MFpeOKP7EOSdAsfdcn+KExEvVabXN63+IOJjiunrNSVpCKrEJc/ECJRa+hgt+15jK
uEEnTkaQZaElXiJL7sekmsqzaVbxuY/1cFsrGGYBVEF/G0S31mO5A9ZGI0k73YtiwrBWBSDsE9Qa
KUCilI+aos3v9DEGMTNTzHSmLmaLyKogbk7NPM2aF3fOdDs344uuqpdB6eoH9LY69lE+SfHBXFDe
DukUbYdFF2/Wokg+NGfdKQ71aVeLMSWSVG9f+tpov6YQPmKljKV9KdUpv7ARPnyax4w3UToQiJU3
0AHegpP1EBZage5WVMpNWDpQiH2lFLtfyQ2xET02OK72ANhdsyf3XU02ZKORLRE29ngqnKg5fwc7
ZFG93JM9gUdKmu1OWoP9CuQzXRrKLaCVSQl2tEpWuMZCk+3YsJQ3644UvNXSc3d6OoS+ZK1TNvMA
oZx45CTNG7UejbdhLpodrpjypGrp5I6OnHPXbJAY6ScrKrCobdrQdWp4GqUZcxRVMX5IJtqfYZUp
s8t0nPFz3A/XipVz4o12FkctLfw/4iWG4ko6TGKUlEXJ/BSOSaa5XGK4PQcvFL10FY3tKh9Syt+a
Bxvf9LAYK0Xa9Y54k+7BFFmircxgIlNMzYwi3ITKiIqrmfWNrZgTS5QZg/R2P71UJctYzjl5ENzD
gIcAezGjC/Z3cB4xYSc4pUobqgACC8p4M9XmTH3BMnk3c6iKcPvpJRhxhclKzUj6r+ou/PjfpFnk
jd0c2iSrVdcYg3ne/wq2sCVmOh8/6PyjcijbsF/nj1Pt1D9FOto7FbvvM3a16Mkphp6kBV0dN6Oq
aLsSH9UGWrvfzQWhFwvz0y/4lpmO2DCThDzcIpu8q4+C8VDQrjv8LxteSfXKSYHyB6LmVuS+0OaH
iCmIjlJ8mDLEWmY5lXhYHC3zC50mMnSsvYwHc4153fCL1lkuwzSrpwx1ZsXovHQdRjwE8E5Jed9a
TvDxHZ0Ri6a+ZODivLPblqly2Sn0ix3U9YIotW6nKHs2HWU4Zak5PZSVLHa0jm1CNVuq51iO9soh
huWmzVSxH3jgH+aO0r9Rsnkbyin2CAgsvkpbFmcBPPDAbU8lnJh7LW6N3aQF3UvYDeYhtzRmU4s2
bSNhANCEUYE/wCg2eopFQAqW3lvN3Sin+pCEoXmMmLtu2cdpvarkkLwHRhJ69EBQu7HZrIJFS49V
X8S3LUkqyFRkuGAqDF2oYdDSQA+/mGk8BpOSMbAgAr3JjA213ci8gLSP2RDNsau6V2dg7SyWdCIK
Iqfxo7JOyUd2KE8Xm/lD59wUUTXuRBt/aFIGV7Ui9Y0GM2BnCOoBvd9/J4NYuMgPgZ0wVShI9fmO
B0kAWW4Ws766emkReDu0REeZ3bbDKLtSOhvuSxXtWsamsSqdjVP+lxm4f0HUpa0KDN+qalqmZsL+
/XVHiMLxW4wcJDt9wEXhFdcqzTbK8ARGYY4e2UU8uRJTKIysUa3TuZe7MTeC6b/gfrXvjOk/95MS
V7a4aqv8w7D/ipH3QT3l+MZ2c2NtkqHt3iPHGJe7ajCd9mwzgbZuWZ4gDR94Yrwf5pL+z7KTTvPx
lpd+ZA5P46QLdDIm3aApJCCRkgPFV79ZYpHE8LWKeK47Pbt1nIArbxnZi10rC7LEVZDLx0F7lyy2
LDydrvEZ+UNZT11nXPRhVD6aKKDw7u3wESyA1IeoDuOXLjZMlyPOvHHUGFHAHtRnnMLcKHE03dWl
ldgrlFjHn0lZOZhRh1luLolrHIzwPJZM1jEWd/eMwOaDMk3GDSY+XoeFyNbGlL1g11XvOj3cExpi
e/pVtCTTef4A2kHJHMi3QipVUj3ykVwZtX7LnuG3BCrBSr+qb2FUN2v5KW3Lvp2ITbtfwkV7tgy1
rnHTUOW72bVgn2A49VVI+NcWIn16dCKD+zT7ru6170rf+a76p+8OIB7S+UMUDUlA6mCfk+8+QetK
YxtMvNG6aw7JxvhuJ1CTrLd4ieERUgfzbKA/hoS27CrsNdivufDpgqNHSZxSusq1Zxm+2xdyLZqb
/NrTsPt78MjGWDZBNHWRD5iVX5JydtyEdaQsHKQ3IkJ7YHw1xqumysVGrxs0yqsiCsZJZ5V9N1mM
KaWbXDsv59qD6ddubFaQt2vc1jM7GHvatcqJ9OViiTZ9hZyq3oRc1H5VzJ0xPYNicJFEmYlTt9Bf
bkbTQgtHSK9eGIVZxacSWRBAESbOr87oy/r2D8OMf1C7f6R09W/R/0+PiVQlUwldEJBoQqf/xZzQ
F1YCsc3rJKbWuqkwmBzLEW9h2zBnKnLV3tV2A94e9GXgE8BytrMyOEZTGZdEGo3T3urCGjVtUUIm
3kpR4RlPx3u6nrJYmeikL00+VANLk436Yo4EaVQ6Pt5wjgk3lNM5z4LzmI2kI1xHoUfNzhkSt8YU
fBQKhIYVV9bOiur0TietBUnfSvaGpV0qIzoXenDrZJN2DIlERAEO1mzUu/CMGyc1X25ozOAAFRNL
joxVoZDts/S8smvb2kZxLQa3syhQeXeo26GS2a1lJeotpv7B9EtThA+atIoNkUuOH8IyhiB65Yj2
NqdEWgV1fWsD4K5bKpkO61yF35dz1Rl8MWXpfsFDXHu91rAiILeqqz2ura8Fc08hKbpb3RnapyUc
g1VpwI+ZAk+NU09DzthZBq8RU4XXScx54Y152ayDLmUtWl4rZE0S9MrMIunWiZwBfGzBI2cyt+Tn
a6zJnfNk+Mzh0Hh99WqwoRMmg39qnTlZRXqTF67sBwdWqAnugsGJ3nPNDDadDGNWmhTK/YQyglIQ
28Q2iWGfJTZhVGqsnZAWF+5Kis4scaZD6kQKtEyGVx8Fx9MUElWgqUgbJiCpflTngCcgNIi8GTs0
MyY50drqe15piyCDUNbd66Br8YMStfpTzeh0G6iLGpEXW3M0TWNyt7QdaWC5aRwEp5RnMtD1y//B
3Jktx4ms+/5V1gvQBxJI4PJUQQ1SabJlt7pvCMtuMU/JzNPvH9W9d1glH+n03Y5Yq8PdlgoKMr/8
hv/ArCEYMQG8R3Mm/QLpDlxzFnvgGl2ezFVi6lYeFKA0TzMYi72EZci+9lLzVBfVZ88bayTgaFDA
Y+ckWuLWepCIXdyMC/odtHd0aISpWXbuPRAolHrgeai9cZ4nGXCAl214njPp68hJ0dWFC1+vk6iw
RXNq4yVzmgU4Ez4b56mVx/xKnCdZLUj9XS9G5yu0aiZdmBdqNlLGCNluEqJ36RPd6j8iunvJwbSk
Ed0uNQPoYD3Hflj9OCmqb8EMHpmb5I+0GsYeZMPEP6kMTHmTjL06KvR9gnG0jWMjmq7xh8aiuIa5
TKup89IsPaTwrmcmJX0DszkxqmtUs1AaA9xGT3da27uZbTw1bm3DTI8eAWo+JWrdICJlMuQkV024
LMdp8JxdbVT9etctYnu6cT3FjIhQXLIPNZ5Y394PVCsb6HWYguGAO4tl6RJJEuuCTKDTmc9oiTpH
xE5uI++uydSpHh7OF/lXg/D/vyk3HBT+dzkI/1/IMEFUkPQHgtL/+W8uxxuSyf8tf3wrvpX/+Vb+
+M9t8r16/qb+gxos/9r+POz+n0/6Z9Zt/ubRsSe7goSykkX+h33iid8EL0k6lof4NFuTOfM/w27D
/I3/QnbMENqidbPyj/4ZdsvfYNGjJ+k6dK51fsL4N8Pus+L6z+tF6gZpE5gQ7kxHv/ti1t2inyar
ZFL7mOwSnH3xXIJ9CUy4JxtI3PWuWvIXcCk1YB0GIEa7zurA+zWDvpmTai0US/Q0ptFGZjD5OqAx
/VGGuiagF7cIbkrHntbhidiXHujmENqU05HauwVUC0QURADhEeho7J1oO3yzzOlW0s1qI+yIMkmj
+6e3/Iuz/02uzjPiBjiTBI+KJOCCOygyo3ZHxh5YvHMD5jINW6SWTcZeYRA3NfjxMAwJHt1VH8PF
SI0PbZEud/V6B5J6gQRdl2iFXthqtRbwl7zIkVvpYRl4hvPYx/ZtAhz7/a96Niu6fNbSlVyG0RJw
p4uvKpew7RASbfZlNVSHLkKq1+nqp6opcI+YERbDcb3aNpI0ZBhHYNChXp60STzY9GZOiP9oAfqA
4TckYMZATUL/hJcTk1JW3568hO5IWc1gDaws0NCI2GQZyqU2ZxUzm6ELnDpamFiL+0aDTRCHPMi5
kX+0YXtE6tn1AaSGV1Gpucjq1fO+tRekIsMvy2ixWguwyIZr7xAan26nNnsxEGMO2iF/Ls+iEiq8
XVzvryEuPpmL8/v7T25N/14/OLYEYl0AZeCoWG98opcSugC9OpCboRtAuf0DJXHElVS3DYVATjaO
vI3TDN4HLG2xbtDXF6Zok2hU0E89hxH+/icCZ1F7Tt16brp32zgP3C5Pj467dAeBQowfmWi6Jc6C
mJAS9nUxs6HLNmW475a80Bw9/jyOdr3belsbd0OQFCLz0f9iSMYQa48OcceMXzCPn1EODt5/ZmcL
j4t7l4B8kIiHuyOdSzqxjsgFRLEYmIghoJ8wBrwGTon/14CCNbJcQeZ0aFthO3ZbT+5xAOaOjMNV
j+bQJizk8e8AZE27yj5Jh5yObjfyCxpf2kGscgOiPNkiw/P9/ft++64tCINC2oKABFyJU+PnR96J
RNPVwG2PGqhBpAC4MF6rfz9oBZR32/RQBDSKxY/259uXjUC78ACokyogh/76yr0owrH3VL4PkT7Y
Dr3nkkl1rf/+9+NEulxS0hSG57o6X46A8/oqpKqFqTV5jnCUU+4d1WRXKoyf37+Ia72N63Q/kJ5H
ABNohHvpNlQVCkBKyty1EvlL6OBVTQvcA5KCWBsCfGxyT6OVGQ7oH5fGkl0Vdv5iQI98qEnebBS0
OHdmb2tglb4tkGoIEMvTDzlUf7r5o9gqFCogYbiPmtSQYJTOrQB0dSQBdH1AWcxkjdzbaUwvAtrF
YiUK7PWJ+GYbk9gi349OacKPtbFtnKgOy01Kc5vtwe8jJYbuzaJNG7Hwp2aatAPtsYqqLQHNRYG3
ib3a2gnRfp06OGSiZpQVdlgaLMmznZoPRb2EV2Gdon9tpi8KuO8BxKoHAqM8aJOHTo3UvV0OoUhF
IapbFTG3MR1UYcDobOAgMUNijLUd6vxZDqxB3Ay+NEu9kLd7jzGLA83wjPs2H8rE0w5jPIgAOueT
QY9yO67Re6ZE+72e7HZjaUgBgTgSgGq5WO6l1jdDnwnLyBf7+Zg8t9GEcnHTiG0k82abCIbSakXc
9IX4NFTQ69Jk4SBepBY4efoCR73dDFHn+tDMJkAU3Sclsr9kxuk5mvkpGsdhO7gE7rFHri3jAPHT
aem2hdKenBW1b4XK29IOcX3bNcNtb7XxjliGurKdPJsWr8NuZLLVWk7gnDbBBiTRyc7rz6nhPaIN
V7ANVednoRvvSX5MDpbB2uYmr6ZsFSMAsKVF3d+RYOwRnXxW0FeObY/GqubkbeCt7iHFTLBUTSpB
98pd0+QvJQo7G9kM9L+H66XIXnJIFHtQu60fWXzRdizoP5o3ockKdEHT+dCMb7OwwvIKrTC0kKzM
FwwJ/LBmnVfrkTlX5FeA9ms0WrMXLdJYsbzZ2YlebIybtnSL7K9DBoK9jNxyIxBi96cweoG8yiKI
idZ6QjtYi6vT5NAhRqmVFtJSPJtVkd9BuUKZatDczy1GzUsaP9OEqg7g0tS1DJ1Hvcv5jqSnJ5n2
5FbriyEzuG2lQnjc4PA4r915ZNnotYcIbpjDL4yTZzckZ7Qj88F0c2/fzfkzXSk4xaxwo2NrnBeu
WrjvsJwAYKB7hTTqHgGnx9ojkYkhSvy9BeB3PBuG+QA1vPXRRGdFWvVyU068rJ5+NRwdPq8qVq3k
mBXEKBAFbZ3tUvfQNIUY4hNtfy0ACZhsaxiBftUlz+cb53bJYvpy2UE4nfeex/cWdt/+3nsrexi9
VFgcE1vNieubCtHJIBl4d86MQ8LSOEdDAmywC0w3mHsxZZsGOj+ATtIsTOlThrTLCWBauwYsx+Z3
+B4s3ezvF1zo9oPImye0Kd2NnNKXRnLXYZM+n8MFsPSXbiKPdumfbMo04gItBXKHS8K2ljNgFqNr
0bPhIVIMkA8t5FNkyc5msI2Da4v0lFcuc8WGqESgoqpe6idbVKfz6YSVSLXRI56ATfviSsj0ZdbD
8F4gq1uQJG0TiRm7ast6Z09Ies7ej3JlNJuClQtzoGVwmnxpW/axpfG5A7E2g/3qgxvcKyd/7siv
1nCG3g4hL5e356DU24QXVAue0ol7S3p5KyDEHprcfqDeKfcJss5rE/kZly8IVjTuN/nAyz1XE/Ga
sEgIk8F67MjKuT1/Q2iUL+uWaBL7YT0KHCkeGBUQt9Z3UAvvNiloLuloDEKnPrkRdGVGyywbcACb
UCC1W8GV1FPLONkqxS8lygO1sFSUzmI8RzrXIphAnnusZpuIymAtIJqMd2gOd8GksX8RKF2ZSQu/
5QKnydFpv+rWt8PcMAHIV52WCFFrhF74T/UyXZ0jcYKkjp/IKPdHkBTsYNKseXEfnbxulg2/IbkT
ly7ZxN+6LS+gT/oaza1+2cG+TG4heDMAgXftey0RgTXMx6/niplxU+2aPGfSfjBUGMxxNu/NcCX3
zzzIdYVNCz+J3MSDTaTZDSDzN/goIMrpEXiwuQJyOxB96KKXe9MjoVjfbpuqJ5hVALRioj5VEAOZ
iA9sBqqCc/zN1+gYNnG5LzODjrhXVYcGLEmwnnHQd9ExjFnVds8GcpbsJCV3LVBf26Ikgy3Umg73
MOGCfkS5WAvz+QsN4eoAHR+Ab0xypWNJel4rZVc8p278gknFY6inMweGQmds4FGvp03oERezji0Q
4rF7A9Ijw1xB6htrADdmdZDnbQGmAPnQZgfqA0IkWnC3I1KlPk1f8nNGbmnTxIccBQCf46S5XVv1
1wmzg6M1ouoFsU7CO44nH88cQAH96AZVBV0qbToUrFBLBL4W2/pB1Uv0HDsTMlQmSMIdIAdaqNg0
7rG3IdWYkpeqqZ4wP+92E5XVdw0flM9IF9TXeplNflR3nxGej/bUOTBsQ8N40i0DrdxiLsmIzcRH
7DQErbLoB9wRdvZCmTRU0Zoa1EN1VDZdP6NHYnZE+nlrjSC0srmpju5awGUIEm2aRd2aRmztYBYa
V7oXPfdaPvmpI5CZzMCOiHEBEoFO9fWi2E6AcZ7dtcyrnDrzEbHmHy5ybLY9xugeYzWBSlTmr5Bf
wNoYytpWoW/R+cJMLY8schT62XEB87uceWKDUH+lCwlbN6ARbzRljuFM3QXCsY4wdvAbKpyN19dQ
M03wgINZDZvMNdt9bSgmt6kVcvmUD+v4MMvo+WzQHJvEMPqd6u2rHMWICF3TvzLwJ4eiceG0TSH6
iUJ+r50xSKP5ez+RPAOwImiB2gT5iGqD1nT5ltWAYUuGiI+E1rJh9AxINRSJhPFtHrQ0Bk7bom87
MN4leb7XxmyrKQJAq/e7CLWWwI14p1F8o43qGtW8ikU4fjH08Yomt7txkwKRDE/7CymD1RpNZIGY
DBFkvfbNhojOejJMVGethwhMyiZV+klpZuaXESFTT3u08RJDOzRJrK8genbtWvnAuQYptRCWkj55
MabK28Ux+ZMREmmqMp6/mJ2FEqIj4HvlnEBWKcOXMdWqrTDc/GvZoOFnLfrTADOY59I+lTiQbwro
dN+jhSkuJ3EfLNLp9llFEhxPzbKDSaqOOjVchjQH4sznOG5p2cnUOecigoNu2FgXDwxR+1rxW2tF
b6MQ6zsm2xRiW8shYzyYkwu2qEzARBesW3zLUO+KvL01js/e0GMiUg4PscuKCcEabjQkTjbok7ys
9zm4+oNB92HfSoOykNN645Fm90b8DKz4CdkOcmRbf2gx89kg2soKxQjwyjBiyKm6g2SWE92X+Xiq
Z+NPCshmpw82UARdqC+9lv2RcqZFHRwBlGOvRsgBGyShs5t05G7QsYVE7XVk12s4RRZhuWFUmfmD
26Fma7uPZpI913NxIsGY7hdnQvmoMW9qRV6jGd7JSBNJ3egm4GPpK+cM2DxE9QYRLzsGpmvPW0lM
b9L4XldG/Uei8+xL0uTAyJxjbrHC6pzVAKS0IsHimRb5yHO2HPdrZZbqGufB8ZF5iA4FgeUm1uZV
Es3bMYO2OLvEtRAt6SBr4ulWA567whvWIF1QrQxDTe7ddgtflhxTgMKCa5tilqiqQx4Z+1CHRml4
6UupxS/ApJ+U4hxqSzrPJvd5PtG7iSJsTXeYMuO3xTK5DS0MIiJyAoprEaTmrAU4JbpITXBmlnCf
CxDv5sMy0SBycJzyewQQKvgpqDf0412EhPdG2Dovu+zKfYcE8tVMZxLkaj7dZbLLPjX9AJ5TNwIt
0tGZQFRsl1PRB+dTTnVVeWKUQBplza7P7JbJGOIPfo4GBZwAc/mzMJ34h0JAekvXghkolgjY52Fb
1GusJm8Ow2+M4vgUVbwwjNGfi3AoT0Btn8+rn3ozQCo0uaJYfaEJwbfK5Sdk8ffSEw9lxDHZhpxc
aa39tTaqbGuBaB15w43d8EbmbD0DI9YnnnzDtiWHIihE9YPy0FuxOg9wtqGh/K4zRk0IYzQjMxhw
OIJkdnel9cAHh7pGKBW8p9Vw+RnZThzgSLDQpb/LFeOz3sKtHFkOw/dijmFWO0dczysaSuvhfPZ6
E/s0tsLH9wv/tUdx2fSROkozJnhpR+prr/OnhlUvesiq1Qi/cn1Ma0lldXxpp526QNkWWi2sv/cv
af+qo0FbU+gGUFrg8xfD2yEdMIFLZ4ivJXUucnxISXbdU1PTh0yZge4WzUAMpmdhIfe97PBlQyg5
q7/aze9uUz9iwIeFT0xtvWY2vaNrzGSdx2yI7nUxAWQoMIERuYKAMSJ7W4/DvSxQMRVuR87dRV/O
vdNzWQbI/EfSFfGLnLpha3cSt8Sl9EcN9KRA6vtK1lNxmjSDHHJY82CHsqszVwMW1Lop6W3SPU2H
ErPWfb1hup9690eqheq6ZPoP6nNNPGOmzpIy27cjNzxmhvEhbuRX3RvPZDbh0H3UvUuL7jRPwEGy
OfdhSxnrOmN41fY0QSAKn2SR2V+Tc6xndIDoBzscZpb3wWv9RR8OES4aexbebesA4/VKMl23sROR
9fvUgfbZiiU+4BPFwSebFRyCmTp6UvqWQaH5QYfsrCR5sYjpGHiuZZrEKNpXry9NMDH6JENQ12UW
vUEZxvFThJE/JaNcHVjq+s9eT7F51ZeKMW96Xw3F8NmrsaAwJ+Pp/dW9XuvyXsAlICTm0H4m8X59
L8xgdcpNRJza0HSDvMFcomGejBBh9Ti1atgMsTb65ajyQxINxeH9q/9iazEnoEEL+/I8ynp9daSU
KrMDgrBHTwOGOQ2dLZDJj/zOfxE06DILW9oufc83YypOU4AZ5BL7BbuybQ/9x1fp9CciBLcYN/yx
Kll9NHb61RczbY9V5AmDuY94/cVwjY1IS4puj+dfex12NMyTzlJH9ietHIj9Mccnugd0z/DDei6m
fAYZZAC+j6AI5kPyY8m/vv+sVx3JyzfNHBGyKyuPJvBF6KyRfk88vWbBZ+mfFWLDf/2d/GYpOV4+
NR9oKF6oHIJM0m2bIG3R9Xe9dRD5+hH0wtFkWGbt3k2cWyUE4gaaXQZVCD9KJ2veGIP8ZuXpFyTF
j7nufFGJ1HC7Gm96kf3oXHSDFztZbt5/CutU9uIxgFYTts1SZ5/J80jkpxPEdKd6joBi7gtvoE+T
kzzLhn3f6yVHphBH8D+nmCbZ72ZXr3JevCLMrWjpatWToSYaU+RxGywPxCapypkkw7yFVqc2AAC/
wzq1O33yF4sUpHOOZmuCqUlfAEau3PM+DbQuCoCEpyA0ohj2JoLl69Qxkzq2jnoOK2OlZrQAX7dg
ocUmD9En0UMNntHaylrHdudTJl10dXz/2Yi3z2adJNsWc2XPc+XlPNczhqmjMKz36KSAcbGhAEDv
x6JjLOiLASbZzrEJgKHDOrMbBv38NWmtIl7RVCSEDq3akGNnwUvoqtZ7LbB1pkTDmjfjTL3sWnS8
b2hJYCDt0gmNig9P6zdQK7ID29XFSnKTDKUvZUPpZRB0FckmSWkLJsXVfHpqqGo66qkX2F3EEvkx
Dx10A+X0jZYnO4jT9Qeny9uZKzJrKCcKweRed6yLyThAfrMenKjZo8B5BR6Frg0rISkH+cGFxNtI
w+jQcD2HCS+89stIwxQkxGgLR/GwpCuYkoQYYHJ2jdOVL/nS0uFw6Eola3e5mfAnLzPFzfTejIbV
EPljHT8LSvhkZN6Efxq9QEpAnm+Gjym/U1K8098+QY2hcQot9YDeq/bBLO9XL40BHgNQ2yFqvJkc
l1Suwljieg/c1/BFDgcDum29LVqyTrCJcGLG/sdaL80Z7Sf4OS8Yy38Qsd4GSAdYBPNEU5jW22MC
cCYKlIZR7/EB/svErGXLY+BiuYIcPX90NfE2B3Ic03DQMQBAgd3H5clbYZyrS1Ezv0STLaur2V/H
kksrcKA0IpsGLgn10jHkEK4V3WG3+lRNVXYjC5J7S0cc3zXmGwix0JAovNFSBKWFxJ4OQLMdbgAq
370fH96eo9wxCgpkp5KIfgkkUJAni3ZiayF3mOyrtu58YKxZ0OvUT7RRdX/Q8w+Glr/IvrkaK0KH
VE3YvtxJEOfcscL9eh+mNDabCvz9ppvEKYULeIiLjn5qhNWCkfXHlvbUtWfSqFx7hvTbNSS6Kt1P
SloIIYMiv8uGlkaoaVzRWjF2DallbVJixpKy27S7J7FQTZx7IqVB4YQ9g7vDgololtj0a9fxiwWr
9SGjooJpZCKcA0h5H2UYbCSh+SVvxALGnqFebUi0Cxk67GJnzaxDzI2htgMMpIqbRvok59lGlVv6
hpnb97USlknH5SakSI3wTxNoMaYA7bhblg81iH8ZNqRpAeBhJgwl+DIbcJckVhZhI0Km6j4rGGMa
1BI7YVsdAjR1xRlIkZt44pm2Od1smxddjo3r40sFeUGqESsEekTnWF9AuD4mc4K9udXi5tF14o/z
aNNC/ArMT6GuCsbdt3HKS3h/Ub5NYF3iK8kriBNdoKn7Os1QkcUIVjntvnQ4jPtpLP3CWbeEFQ/X
kfIwTnSX4g8LOzHfdNAnfP/yq/7vRT7hQu2xQTxSHBrGJb7Hc6fMG6Eu7fWcKVol1HRvZPT73ZxO
uNl41teytostFKPsCAVS9zOLExIGA9J865+QOW38XncK7PFYppxdTJQcBkBo9P+pG/1VNldPWkvz
9Tx/oLVhIEvI8DoN4jBWT3a9TgNsmuwpTcm9Xqw9PrTZGKTVyYNqRuurntt+rXsnNQDgtOWCjvmK
eSki74X/M/SAbfaXBX1mX7oAbPB5ER/kw7/ILNBadQ3XgLPBqSzXp/hT1jUwqyvTMa72iKzRFmJA
UFjrSNhgIlQnbMOlyxH5zAA96pl+dryACvuV4UF9PI9hgHMDnFIePg+j/pCv8a2RjxYK2czF6z9K
Jvp+NDOLcDCe2r//jt/GPReJKmmx73VqxssaqceDvi1ovOwhBeyNkPniGiqymXbkuRuFGckHUe9N
8uys7HyaSs5K8uBgX2/pp+cVo642K2R997S2a8jInQN+leP4PItpz6+3Zyg0EF9AcgAa6dcx4NDh
rIGWMYJ9jcoCGzDLBqjGRwLmlwfl+eZs8lr224oaWv/+p5uTMyRxLSuzfRKDI+gU9wBbiykA47J8
fSrvP/5fXG7d4iCVTINi4s2xk9V2yyAS7UF7XbVOccKfkojUsnaoHT/q97iXWbBDjCOirIQWRiNU
jq+/XqwGpo0qifdxHONwCDuLWKgcf7K8HaMmaERjRkYC6YEzgzT0kNhjeDAMrby1Ksv5fbQK7z4d
+oM0+7tWwn1uZIeAzDg0wcgeRVtsaq8RZiv33ohERI0S6Kk0Uw+0SsF0E9WTXZvw4ckAOZfZ9QNs
0vSY9qWBzSqaaFolCh8DtPpADWPFW+hzo29FdrrVTYSHpnDc0ZFsAhWh712IyLwCy6ExUcnuEPm0
4E07JpakGL1ZhkpOskFTMkyzCKy/jQsQahh+Xrqu38f8RSy0Z2NF2xlj0z/MJGropIUpDHcqNZzm
kGUlo6MjiCTQJmFO7Zf4fV0BULXBgSF47MuiKXdlbSVXfapQXiisEnkJtNzgmjTuAbWF5ITkzOpl
97nuLDRbE+FrdIevXakt9GIW489+9Ezg85n9wUYzLxN1R7gkYaiMUq5i2uReNPfg9ytPyznlQVCg
xLHWPTB8+RItxpuKXAoyu35XN025D+sRivsyW4Go1xcI68uHB4TBdNqT1zvKSf0kj7/nIsU8Eegh
uhYQBmwWUIA+Weq7BEjfKlW5Y4hgbdeuxM41F+0RQQ3r5K0fn1bdXReLR9sBbTJOEiSJjdBAD6Pg
gKme+0H35/LwAvbHhmIHk8cQaPSLpU7kNJBkyNxdrJa9imeI2eYHu/cyeJ4v4YAwtD1dGihtvd5N
VGE2jYDIBTCQ1n410Asd1ECZUcMobDuz4dkg6/F+yLhMCrgosdMiuaGeIGxcRCiEW/ECjfFRaSoH
GebIw15pQUxniDIDwAAjPc20EXHECX5rdf/WQ2aFU3LOgfMjgae5Scfl9ZeemyIfUpThd72sNeby
acvbxrwVQWUuiI/PsfY6d0+0e6TtkKF6LYcv7z+CMwLu537P+R7oVwtqGUC/K0D85yjNtlGOUJrc
YYGu+cPctAdYHopCXG+XjRqwWUadpf0GLzS85UFat9UE6hSjYPezljnL6hyrtu2IkH1fLO6T3qKu
WTYt2V1c74osVp/GeW6PtnL4Ol3snBo0w05OPTZf0VqOSjQPjGQ/et296UTYpgxa/kHydXY3ePUd
SWAt7BRMnBhotl2CKeekk1bDEbrr2VWn0VTTTq8j/NeGakCenS/h9XF+r4+Rc2pj/oLBY7j1Fn3x
cwPsyEIK5pv0IrZmHEYHL4pd38HKmn2ttxggiJcaLMYBoz8gZFgcIGxpPmSiMINaJcPVArPlAONZ
rdQidy8nZ2Cq3QYoxmCFvsgmyCWOUxQh64y91FDeFouvQnsT1fG0y1TT3k785q6WAxCLOFrtMzGX
C8f8fl7qr4tKTYJQf2UjBLtdLIQxoiYebkTidE9os/14f8m8YXM6PE464mAqHVrB5mWtVcOwhPMH
QANLa3onvaaQ5h9OKFB8Lgor3Jq9hW5sZ1ibRM7hVtDx2iKr7B4yN19pgHSvsEc3trnHNktxIL1u
skj/1szoe+qLt1zzKfI0QBVkImwhIdyhestDl/tMH74vaY1jZhrqyFcA2bO71to1oikB9Qm11WT1
tYc2vxsmDbl//MWzRf3rzGYtiAzMIb11A7/JbOYpiRm08QCG3H4BMu/ery9c9ahsjkY0fNCLdN6E
XywYIM1yFNJz8JxLRG7R03DRe+SvejBBPnKsCCpXbXxdoxOy1Zdi2pl6mN7GsouvBYZ8G0akeASN
xuJPQ0MailfglvnU74MXnsZI3oQLzGMDqMokr+YorfxmZnEOKbhNfnZbk9j4msfDxSwt9MXIkiT3
fKnaZnkQ2GTvjGYZ/jKqqj30Ji+yprI5pa0uA9zfol0MrvsLYkfqE1Pr0DeQOXyoE3RzLQHYAEUa
+jQIlwWIYgw3IJK8I2PFhw6SxwFePMt/8fqbQuLmoKAI3Iw6saWts2yHQFzoM4Nbte6K4YuNi5/f
DsRKLUZhZWsLJ91VTcdS6rT0VugVBm6q1P80QycH52Ewk43jStt5qqB3OkRoyfAgN0jAyCCmoUEa
RZNs+eCUeZOYWquWJA2FFVS9hvrXEbaVMs+KCGinq0CWpDbPT9U2EbayKt+xq/SDKsp6c5aiWbe6
zbBqUCehmf/6gimOOpLvYe+MgdTShUHzp5iw+SOlIkC1vSuCvnK7fTdO2s7UCg2YWBNfG2nnHmYc
o3GfDeFw5lXxBWkSwEcJh0K2tHa2cREm2wnMSq84rDGiBrrp6zg3BHPH98CPPd32ugtrW/WoraIW
ZQjr8ziYTygyo+bkOZ+xmvhBJQ5fjlHmddFpziECUnQTlYl731HtIN6GJhj+sTSL4N/7xTghskDn
am8xkN4xNicMD1xy8tBCeD+0vX1VjPhApJNiUajbl1W6zEqQwQvOTrhek4DUXA/YnIcwe+Ie4sVu
Prie8TaxpGyDFk/FC0zdcbyLFMQF3obcNBqb4JhMbD1AhhrwdE5JwSCqhIN5PXlWEkStRLq7VwfV
8kJk1phBVfB4nbFkFDAiToAeH0q5PQcVpO3Q1ytLAUowun3d8FUSWalPRUu4tsv1cLdDpADhbd/b
ZfVtXl9UVNohiGv2qzTyb+AX0RSUoEJxm9D8iN7kY+Vy2C2oa+doWe2YMrzgLVkhomy/ZE7+DUnd
JtB0NJhnJHWv6WuJwOgnGiuVemwXwoShEfnPR2udkWopN4qfQJSZgYeg1oMByBeMCIHIQ39hH7N7
r7Ge1a/HDpWNSq6naZEBBq/JS3D14agt0GbT1zA3C0KvKvr5uVxYQdlAiFgwaPczpdoDqHjOnoyF
3WZ18zVJMg2HYs7MXHFDtYM8DR0XkgAtZgqA0ew/f5sTKnAg1nbK0ajmV5anD2u02U7M+bH25BPS
WLRHK8kc4gyRNjFG8oFuWniIU3uMO929QQfNozvMv3pd5B5ah+BWxvyIHpFBlCFipm0F+BvMd7dX
UYtjrwGKqOxwa0nXr6mhu3M7IKbo14PRBv1cYfvVhN5RYEsaoMru7vNFfpGz870Ar4tqlyWOBLYB
A6fMDAj+rGJ7dvdDk5OyJKs63hopPcnjA2nKFTT2We2R6cQYvWzRZugo2nkd5931ryidvyZrvlIt
/n+yPv8XUjqx8yKcv8vnjNW3//xKr/j8m3/zN13rNzBGALcRHoZaa5lUP39rFTtQMSk5YdGTt9I6
XJso/83f9H5bBZMduon/qBj/w940xG9Ef3zC+Thpwd/8V+TNi/kDaTMsUOnRkXMZjDMcf32YSKTh
BljWHaDHaGw/x73rPi4O2gJIJXjyzkJ/tvU1A9PmUp+qnaV3Kaqhke3/9Nju/07WX4kjgPngSj9l
8bRaVpdkj9kClGuTCP36TnR7kIk2s73BYbVfkbvqsTrywuMQFeKxzxLvNHGCr03wIkQXlHB5gDIA
KgTJrgP/KdkBwKn2FaL/f9oxPWjEWmac2yUeMwVCo/d6N4dHgK7CnzFhpwsN/ASLW+D2FlJ5D3GL
CW/SiBILjoJME3WRjlCQh4FGD465gINELpKCW2xcxycOPgdfZbTuAyw5vGvZZza0SrHq0vLz82bs
J+OoQjl9q6C9bfvUumU/a8hFpjbRi5r3G3PL/MbG/YupcZOzWyfQwhMamuTV07NpdssPI1P2Iy1v
b48RCDKL2YgxRZ4BzE7jDIBONFbPneO2x14O6i62OqC4lSF8Gbv9jvFNdx9JE4BrKeYAEU1grfVh
StC3LHoZfZktL2+wk8eHwcJE5snACwPkpC6+xKOn7XpseTHyMcPNMpjiBJxS2/Ej+n5yQulXY6wO
LcnRKYL/dBzc1Rd3znclakd+YzX99dxpCfbwVhRQDdaB0zcIQfbA03azM9pB2Fkz4omye7QbvfY9
EhmfYWn8OS9H+8lZ3DBQM/64ptL1A3YyC1+tuV+yed4UUhtvcM1JH3uSnN/HsRl2qa3Cw0pqR45W
JEFTcWYg2jz8aIrUDcATlQ9W4TK4DqXWo97PNIK03vIZ31KbjzdWjG5yqV2jGYdR5kTJzMT6zjHT
tSGSUTUuerIXRSk2mq3swMF1ap/hxQG7Qa4e4Hh/SQ6YMlwy8HZFAAXjPu/B/ObMZhGCaEFoFQrB
AZp1ft3hukXO2z0lSJ3sy7arcJePGK2XmvbsLM0EMLScbwvbG3xvZD0lLKsdnhMIn5ltsf5J/ohU
5+2R1I5+X8QqV6kZw3wTATXnmpXxoE+mcd8Xw3Sn10jlNPUw+SPzgA3Y+LskzxV46n7Z11HXPeS5
Lfd5zkFtIaKL/DTzsAInv+2AefJ9NiflHX2KCPYX2nFln8pj3AiaiEjp+OTg4GMh+R6qsa6RgUMP
10sYq5d5Fgf4EiLUGUdULF7xiKLGuGFk5Ph8RrWF7SwPw+QtpymerGNl0w8pkcYOTFDe4J4KBwFr
zfPoYuqY001h7YOpSQ6qQ+o/i2Yd4xNM1iBtuwoxN9MesEeQkr3WZtLX6smB3VTMxQHanXk1I0i7
6c1J3iWtZn4aJqxES4rveln2NAvsG7ey5n2al4NvDdK4idz4ziPIBIxe7/S+2CIfPW0jveyvB8NM
vqNjFDM8mfqtl+MEbHgLUhjGqN8tjtk8RUT9g9nn8koBg70pR6s7LuVg7zRmnXcttw27zA4/RaVl
fhO1m1z9F3Vn0hy3kp3RP2R0YEwA2wJqLpLFmdQGQVEUEkjMYwK/3qc6bEeHI7zwwgtH71pP70ks
FDLv/YYj8sE7DPM4fnd4KZ54MwfHwq+7X3bL5G/5OVuLFOEXsWQcya65qVDHwPUiAKlEGRJ/HJe9
t7blHFNpRyNj37TjLpFq3iE6Bg1cRxNlbOzS/G6cmzSWgIR2eQqEXNZBX914X5LAS+cPsd2aTkHR
7OQMG5wTIp6y5M1xjeQBpkxN77sX1jYRrhtLMASa7H2WVjA+GoR0CiwsfffWtw0sFStJHwTzHFgQ
MRFpk8B/Oo/g9TJWp3kp5WdjVeyPg7Tje816aCAhEcLmocUqxVgOXetC24V3QhtI3K3ThD+LAkN+
pEiZTfo4VKeg6L0PNwuHw5rXmFIwf+D0QMfZV66v100YhM3frFZLA06lG/76PbprMtGXU1rheGhE
/VBJ473Vc3+obr5ILB3eJgA1S99cYYXlZhHUrrAvcj8LX4kQeGJaf7gUjx3DfOE/YM7+ke6CIFrK
kjpBm9VNbNgJVeGQwIurJemn2hO8dfVR5MsUUpBC/faPMLx+fLLy0n1OKcrTu6Exmi9q2/RXktjV
W11I465NRUUdac0BvbU6/mtluM6vTe52BodU4r6l0/ShytA4L4Gnk7PpLl0kxLwKlie0vNJCNzuR
uD3/adM5TxWONMzAFcwTnS3ir7XY3hNHYR8cZz8v8seh7+vj4FvZ88hq6llyyxdodC0EnakM2790
qjgmLVm+eK9a7Xwvc7AccUl5+yWbxFmgDvyQvmA/lFBudzACy7skuasl4Yi5fbYlSINK81NVit78
ycJpSb1XK55UItpPhtj2yeVt/byUbXvIK2PapfQyeLtGyUBsQjfQd86aOAdgNemWrOKwm13KoYaJ
wpdemkXw0CPP5adJPRnhFJxzVuZkAVW6NVWdEByigN98r8Mu+6T0daTkns5pJCXq8xnRamCSACLb
6iFf6bHd0tG5EswoAnOLS54Ja7VDi7QA1ZaGZaSPcvbmj6JrrFfofM4z7crlKbR6aMgOJZpJYaSv
jJiSMkGmE6pw+Fdw15pz+DMdCovO5n1b28OZfVTAaBQYj96Cz8FqR1yQ81r/+JlGIEAAogsvTabX
jrLTPFZ5W00bQdjnflGlPWxXgjrEB+REPXRa1vpAwdYYz2l6TPpaEybCwFl3i3xP7bK/ozCSMnbJ
YFixDo4ourejdeL8LPMW/gxJeVnq9WEcChF3bUhS3DFhBE1psNc6LwAQlqrsAQcl9aDPDWVGbolB
bLQPfq/X+cTII09cZ2pmNwueFdcGdFrCyToKGs73fZj71lW1bGMQv3gUIFj0Ud453RO/a+flWEs6
ZHw6Q70qBmHhn+e0p/2yXtISWabrP5pErCBavOVo5fawS1QHKFTCP6taCqhqit73Sb2mDxMVZTuo
d8vRlV1wEQa1vhjEqe51N437I82jpnpamONX4lEx5qiT7X+gUDlEgicWJa42esz5db2jCLzRRCeW
6d2QS3vFSplvHZUQW2J1H9zXbIjX/WKOImcUDfeBofI4BdG0zxPPvWW7xd4zs4BxVEztPZ2+Mgq8
0dqQtKIAPDGt5dpr065PUO/oTgvL6So9aXRkmIr8jFlYvUxjIkGEQaCETlAc8x5n8CSl029zvEM/
kw2LIkrrOX8HMcgenyV0Foc0/DtRTit3wwaTRC/bhYByYY2+lScbb8LKWE8eValBT+tjTt1mHyVw
Nw5U+rrHtSYOL1p265U/mvckOVqb+61607V07NOUTkacz5afHMIkaQt6j/LqQv0Z7FVr9Q78lWfC
w0RMCExYv8c+da7ubLMg7xAin3nbSI8HdxwbIkFZEndDQsoimU7EEi8dshQMMaiTfXlzJFYpyM6b
X3YsjK8VSma/n8RgnBCjv1rHCB/It0v6x1a7+BkrH34Db0VOf/AGm067NycXbVnYL8zqzi8ybm/G
ZL41ZhZeOeDac23O7plo1bAzXXvcudrmmdB18heWX0GU2fEfoF3YXKD9ETPG7KMmZI3xBqOYd8iC
dqKjsKnMvSKYRIrda5/WWbjgRgfbuScIh95C4/iXB8DkceEtvrdTkjV0D3Atg18G66n/oem1jERq
tuwPrYaTM4UQ6K0WOcP5Pum4FGSzc3b4hABDKH87CbN+bZDCtoKDBldqC5YwS/y7RRbyzRq7+9YW
w65Xdb8varsnYs5wc+m8VJ2F6nxeJHYxHmpmjJhFvE0gy1seXe0VeDorNM7iVdjlj5EED3j06Pa2
pIpARJg7utDnIwVmnEyoW/Wt8kdYw/oAlqP8nlgTPtTcvjYDt4CLxPx5ENDVT771G1cDDcyDu1MO
5fCpXg6O4UpmqXWOF7mUO4sDCaZUuhCWy9L0ILIRs6I9b2p5pC3tJBfB/jg9kxQXd1h5rXMVkLpT
GN5UBKqxQduZDK6MANjmNrU2/TS/NHyZdrAd6kgEC9EysMnEAAEqpws32gQb0ZmGZPfRtcrgNJk0
ig0WirxPinKf8G0/j4uvyZXWncUVtCI1TsMcMW8eDUN39GDTm5cUAiWjy06BGvamnGPrVh7gTzzT
ZKaoh4y5dWSnhNbliPYDfe4IIsVABanGX2vgVZZfwrmAprxJXa/rolJ1Ln25+nBjKaJz6ePqTgHr
cHwuqciLY7KWvP+miY86aWqDLQ9WGhQE4ywhNXyYXuNi7F+s9w4TUxS2aXFq9DrGtDSnd4XhuVtv
DqfDOuX2L2RR5134a/PEDTg/Dkk2vakqgVBLZ/KTNY3ek1pbxbvSCyQJwE5eCC5KGKrtujW5tH1T
ksUIbcF4IWdU/3FkS0OkO1x0m5/7MvFiwuO/Tc3Z51AKB+M2GjPjpUVnOtsLCnozh2htS+EfNQbV
u1nM4XOQ5APpRUCatcUFdrptFXsHHd3zmwt4I5aPWR0LM9lIFK0Y989TPmnFPaHqvixRuXFJpVDk
MuIfe8c+aCgkJxNYz7ay5uF+IK98wm315NUSX0RFTtPt7mv7vTX13ajM7eoEO3sQn1B9H6rZtA5K
6mfgn7vUKJ+WsjskyrodS2AeEqumY7Ds3rs0/KC3Iqad9atjsREVnWqJilXyCSB7eQgHwYt9dqqL
q2ab57irj2GgzgE01VOq3fUsOkkRhhcUh1KxHl9gBapcApk0Qa3OQ5HunWl8Nh1ypsFS0bFAK3eM
caNVPBy1OJoew9UqS/XtkNW/qNHP1yibKwEAl3ekDVQPfrsTe0Nh7qEWJ7ta+clZQ1DZGjfIaWgx
6QMXz33UPzvZBNqP1z6AalWoYp/RazCiK5T2YXVKmItW5r02jT9cWL47r2RsG965JL23nr1wMKqy
JP6skiW4QZtGb7f2WfNmzCAMA4cRZRUYlRCHmrOszem58cur8sxNvnj889NNwslPQ9n+VNqjXRQl
qQSBZVZbXvAnk5hh21nljhVTcwQQnUStowkrwky8W21rioVvm98Of79NWo9qiGiLdT/IPLbHCRPN
VY+Vt0vMyYorn3RUStfi1GpzJ4AE0tpHHYBVfzjCMJ+mJO+ZcHS4PFLM4NubwBC0ewMS3s94TDfz
bPKjhxAT+RMkmNkwUogznXcpqX+PRSPmi78kwYVI8l2amZi5rB9UWLnpV/8Uhs9Y3+JMOtclK440
xP8GxPqzpJ0gyY5yFzt2q+ljFWl76K0OAPzYGNHs3aLXtmFua6Oc70cFjWTjGxmMruSgoA1Yfh/P
7hTPZqA2zOGHIKC0PfXLLaftj5jte6Pywj1E8gPIiLOHyr3hrrVrp+mTnXiK2AC/4AiGq3ruaHW5
dxL5OVLPH3W18eZkofdQ5nr4MjynOfDrGMy5tvgMEEenZRrjimI869C5q502bnLMrX7diEtrd1RA
ejY6AT8kcesocaijp4ZELHGwWG8lHuQ4F0jzayd33KGjrlHRUg8/I04EiCiabmy/S2/tvh19nAKt
wqbENDuWSkdyLl/od+F66c2U8Uzphly0vyupTWG5sS+q5cNoApdvj6G2ILdN4rNuMTwzZPc77Od3
eTJlOLOHK8knrnpOJq+yd17zGuM8SKcptgrqR2yLjRGhPJrT+2yn24wugMwuWOVZ7r3GvhMH0CkQ
K/IkBk29tXtzKzooPLQETSdXXYzQPDdzlvF1rJ5pJ9+MU3VKwj48ZP1IH06oO+xiYxiPtVW+pG2t
P8JqAHAITKJg4NiUjT6IttD7ocnsalvopT5S6jRS/CCsIxF1+6B6a7qi66a/cL9gVfCdL0b+F6cD
w3m1G2KA7R+fPdfLnDH+WVx9j5LN0Laiq8QQ2DIrAY7e1H5wcG10lWoeH9KSdcs41s2bY+XrQeXL
mBIPDZyt1ZAlx9APa7xZmovtszFjbEh2k7+K51XOBHrNVd/Vq4sYktuiPVIJO8adobO4CvXF8Mtq
E8655oMy031jJ9mW4APFwS0Ak9fJ0+49z9nWhuxNoVx/yRN33dS5ydbruOZ2sOX39h997xpHvDHZ
tnZMrPXm6n9TmtQfpnB+DpP8GVeG3GP2aPZd2Kg3AzRA3HrddXTAPuSZmd00K4xCiTFuU8557smT
wfIVpoFdNE/CnKbNyj1hwQAO48doq+Pa0D8Ga+XTqyfyM7zFjyJLobiYeHRTknSsiIlq3CjefGaH
WTvBBWsMoRT2Qo1P7wf/XAKeNJaVZEPVen98Vl2bHq/plQ5h/Zj3aWvRP8U+PDQpI0hQ5ZRtp+9q
9cD0BnV1qhyhm22f5Um2IQgArThZdL6flVS/unxGHVaOt6u5aXKhUmOMEXeKqTMiigOlx6Y3hS4e
644mwym9TGI5V0jDb4lNoULeMHrQPmpZLyFFxgvBBKX6DXpyftE9VzI/aazDNFvmWfu48jdAcFe5
0QvtWSRBszNQ+RbBrne2pp0NF2Z5+y1D6Dpag2j/9rLh6pi4/WXuGJgqwzEf7cpLH/B+OOR5uhz7
MKVIkSVaa5tmIyfv1JTexaQcuOPyR7EPEMOcLcUl7Dz7mXap9IQj1X7hxV89jMKR+ymF4Lwxu7bd
23nptDttQgiGJtfoiOG/4eijbnZx2+lWETWyCasXW34FgvfFBqeneqXy4G4MSaH7y1xdc/rCI0u7
PwmZz9/IqbWM8Rwmf5IiK1+4hnzmIfo6VaqPBExe7FBN8XRbeI3rfBjWhbox7s5nrU0eV4/FVyCq
6aCNtfpqvMw/BI2LlJkmdEbUBBdT1oMYndV6xRCtI3SEAfndD1ibKZu6QNNlQSdGRgrcZ3WWN/eB
csaoabW/H+TwOi2y5IffvWdW20YdIIO9sj0BEy3NcB/17S83DQwJ/MyHD+KNLv3KLvTtxmOwSZMX
KcPwGIS36w5hIpDQZ53lOS88nZ8W2/+bcf2HD1JSncUKijeB9m4O5SB8sYqSw6RfKSkZB/oeqYu8
jv56pYs7fJTQNSJY81SGDvY3zAUeRjrI73TJ3bgjTQXdYTG+JpGm26QOf4WDFRxEI6cNtySX5quC
S1joNAYSESWGmtLjA6cuo7F9yrg1vUK68O5ti8ev8g1aAHVgHBjsIL13xeNwSx5qhKkdGbeLxUW9
D4Zp76xsJbeTvfZHqOfG/bSQ6efzeJFEc242V+SVTtGYZYgJ/Thnhd/xl8fZP1jOg7G25oX+1HUT
JDDkrQAPnKVUyGZIqPNQ6ScL0s2GJhewzvNsnewkfF40IEdZVcCXLXNjeiCRJz/c6qF4qYv8fhkg
WktBy5i2c/B7q4JfEHkjZS4CEMvO5obDu5DVqLsd6L6AnOCr+kyZziDZAnQuDzNxGb5AvJCtsGte
l9AQf2rPZ2tZyzDiYgFFCy7vkUJr4BZBU0tGatVANa/yu0H2ybVb1/W0DPgFgpDKE7pDXr1UPIo+
J0Xphl8it84FDecB226gGDBLusV5DLkXnTM5UoiWxVnZvcE3/vAmcB9N38gIo+bGUI8El2S8IrA8
d1DMIxtG5hN9Y9257eshnlIh3yitEgfVzVxpdF/HA5l8uvH9uJWNu/WDxtiXQ0hDxKNGa7pLZ5mf
cr5rX6VOsgSATcO1G5uKtRk9vgG4Iy7WaKOLtbTObMF8ndLJpRbK6o44HeqK5Mua7YMFSXAkqIDZ
119uSS1ymRGcBpOVIwXmDh2nfIxBab+ZLW5xLkCNdwx0Uf222DXw/Rkp1eJfmp+qYHkdAlZUhWHv
at5vd+EC5isyMLZ9r4qLGefh/JjN63Sk9VrJDcQK88PLOuOFuR8MAY/ym64KUiTs2CWBPdk/8F7o
odWMbvFL6HD6lv7AXMfSIJwQhRTYyjPVGplie+uOb3jrsofJ0HyNF8WHgMY0y3uI49gf1iHjmlk0
TvhSWAKvg65XXledOX3OZC9foZjT2VRQMH5XpR7984V23ZrboF08pF5gVMQEdQhxNi3hEvlB5jb4
w/zsFZZ1d0SO4hpXjXa2Y6J2D/5YZpgVaoyRG98uqdVQ8/SR+9W3pEcyGpbhm7H8hqPJ6jw2W/u7
4MKH4EYpFX2+OSuRHmPSebKHjDdFzf9iepr6u0XUkiul6X1UueK7xC+b/Z3hiP63U2CgjPBH1Ltm
nLw/ORdybO+uOAYJJjpUVn2Paweg0YQm3Il52DXAdh5HHNR82/2UB6X1+fRGKZyDQXsC+pNcohwz
0G3TRStQ70w//HTGXUVWjQZboLmm7p6EdpEhi8SqKNTA6ZkneXE3GEI/s1mTuJXLaF0n6hsDoy2H
TaIETMFlzQlq+kLL2LcS73eNE27awkJrT71RlK/2EJKZZCt78HXhPBSzoXq6dYMZKdp2Igcj+ji5
GAqdFBtmp7MdiuK+nXmA0zX4qqSZ7oI2ya88+O12hUF+rO3afjAn+RX2t6qkjDvtZpynT7cZxqiH
DbYlxXQd5VTEdlPigjHXkf4qG2IeLTa4Dj+aLFa92W4cu75HEQR1O7bWa9rQlr6obh9mwfqGQdSM
KUrstmMOM0Bry98kRXdy4BljcVq7A1Og3PWOkTyNDXVK/ih+6WSQyzavsJKZ4dTd5QHLL80K7MlV
iSo2eeW5L4hN9HDIPHmcqzkjUmfoz2SwfoqVpYOiwv6hAnf2hjONN6IKTEJ5YfY43kIGkyduFfWg
38lKcTCsUb4m4TljLcnUofL8RY7m8OTbCD5bjDpAnTBxZmcvXG7FNIFrUZzLmewB5UtWRz/rRVlE
RMZp7+qQAa2+qWrZcXFJWfGw+NvbSe0zeGz9EBJBgyGA8GBrvmlajzYaAi/bFIBxCLOUXGbztKX6
/4XJjFvK4FJsXTcOHTv5tCuXIosXZf9Cf0vOXERo9+M2GZUtA82SleLsNbxqp5zStAXtD7qg9N59
Y93eqOi7PHOWQz8M/kE1TYcJ1cooKuvNJznb0x6RgTXn0MwNu5ulafcgaJJnOWkKjvha8m9FFPTb
yj0jTVtXfqou9wMw1HdWQgEO6lpFmd7q29gommC90MXm/12Wqiz2qC/MgKhumookgm6Bu/L0sEt9
SVd3fHDG5mqka1yxzbtrwacc3cKnGY6a2xqsV8oyrjU9XFTIKuPuVg6Hw7v+287CoqlOIKn4tTP+
KbAO7AajSA4O9V6AJnoaNSwuCmfX1IeiXIYvNWHjwaFogApOvSp74/P9tdhtvtcsETi60NUJrVuM
bRo7Xd7TrZbLPcg4lW1mS3rd5mZHZ7mDfmfGrusYI9zRUWxnBXiWNsbpvKyaPtAWftywOMs1Xzgf
m9Yn1CoZDDqnPvuV1/ebRngcNmjm3P/bRWZPZLvAW5V57zw4KW/ooTavaA07yjv5v73l1So89Wc1
yuylDzv/DwpcePFGoq5j7jQb5u0bvoGgZsW70IKWpyk0MBBkH2qr7bAPVrg7c8uITeU0v+Ywv8HK
k0nZICoEq2DuDN/sQJk87NZ5SG0TXpUJlooPrnxA+NfHWlZhs+m1a57TMuOrnQ8ITAbmymowPpNO
d79CyX0jwsJmntk+c9pMuZd/JywrGRPcWeyd2cqJ4XghH9DYvrMY+szk+pvcVMExLrpXx5bFMWu9
FaYi6aUPi/nzfVhMZJ3RNJfD3HFPZ9aghjDHL69gLEyALbNpq5SuHoOlhC5RBeJhKEufJE8xH9ZK
gTNn0zfsrD6tXcJKM56MeZMnM5PoYERL4UT/HHAUa4nd6nePKF7Qj7PaYouR9voQGBA+V2kEe6PV
VN0BRLn4BsrrwPvoCZOHQZTby2Iu7fpaeKl7sMEQfkBtdV5bNSi8DrhWUHtMzByGO+1Ja7EfN1Rn
3ef2zN7J7MoAwWvoI0JocQ1Jptj4QLgIoi0s2qdMgTWBEToYln0xx+KGBqc7FJ45IfMYlBdJrFZU
28Dv/+ZWNsQD7Eaw8jl2hk4V65a6jBef3X6UmVa4F7xNt+i75cUo7Ks30YBK2b+3saEy3S9dWzPv
a/17Khza+fpgDh5dxG8qx+C23kMyKZ8QacNn23D1FQFb/AbPVJ2NRaCrVeZ0yjt/AeuRFmPk1DJ4
dhdUxsUZPnr20PRDjN1652Ra7XDSdHuOUvwueDYfqLF+wrynLpo71yEPeyd25+CtLTsZ9znFdlEb
6Py1xa9znSftUXs3uvkb7lQ0AiNYMTdlUxM1znoHqbqKAJBMDlW9/rGXai/LWZ68MmMdmQTBCTTi
fZOoMh6dMjjQPl8d2WVQcJE1Jd8IPZ+Ixq2PZKDZb3a+X0ZJsJgfSdXh+iC08m4I5ynoklfqsOar
BEcZ+1BmWAj1aVzOnoxJRT1KdMIMN9SBBCrfnzBcznRjsnktdHWv6qmLqk4dHa6zj5WfsTdgiLqE
S0lzHsOTc9f4YX1g7/cd9M2Lay7nNEUwCgzvVMFFpsE1SMcD6XnzQ3YtcLiivOWM3fLVot4T8DSa
NEbo6mTVYsSZq/CEuJ6OM8tu3wrFD4pOUZidpU26tEOoNhEf+tsr3WijVszFLiWfeLDBQJ3mW89Z
acIjnmGUgYEdF5sGyBRdVhJfeeQ1PQHScZXecnLUOzRJ8zza00/TWex6+tQ7JNnMaq9AirznvUUN
Qu8sJ/wELup0ql+mIdX3QZXMh3AM1icslsV2zRJWUqFVPbVcLp7mYblRHsrmcyGGJTdy1NNZk3XC
AGsFf4V2krepV5riR4ZSNtJJq/jmr+0D8lL4XmXFEjdZzdaATEGsKpLvXuXJI6199bGUvv1oZSK7
d6qeRfkqocCFszNc2Q0Q/pvRk8lBVkQFWURid7DEmVyy+2GpWfM+W3u2hto7j+uCVXqBW4pvK7sZ
ed3wG/Ove+Kikn6zJOQOkd9WURSOPWYM4SWDAP2UwfBxWwW9mwmuLLL15vC5JsJ+Y7uRfeJPWx/Y
bcAmDhNS1V2Y/0jDtZ4WLVAOkrp4IWEjt8gCjPcV1EgnbPxnz7TMvYRWA0RNyKcpRT6PGncsToPM
1d/aciYY8h3ZUntJHgAoeh7eiaI80FXjbg1oBaexdJxd23PWMDxX5rUolvmTNYu4Q7KCLVAHo+KR
d/sHFAP3uRwZwI16Uc+qNn7nfRfsRMf5ORbJSaY0t0hgfg9pq60vr5pYK6pbJKmqBxoG/MzAGNSV
WGxWm9aH3NiwnpmeVup42c/PY0d+1W92a8cig450gi+hbf21CZmcceg0FC8ZI6DfJRnlVXA52CHG
Jaey5ns4d23JY8uoz+jMtgA1yn6a6z55ysOw3qYYAV6qJHvmdOXO4zFLc/xCRy19UBSzVOdewWET
s1wPy9AgPBn0AGxsrrXweUf1HubNwjLaSOTH5Prs3MIin1k7sN9e8dXwisoMtfNNxz33tli/qiYT
+0Ci3vVD6VDd66Hj5fDDUXeWZ7Zhw4G0w83dd9u9N6Rm/2KuWaKgTr3ntbXW47SMRcTnRg+0nYWn
Rs2CnQZKDF9VOEcu2LFl6n32CoswLGq1KV2j2n3rl/p+yobHciVrkBfDtBvDJNjhJuPOmWbGvkK6
ee4n3TAx997BdFubqSqwZmDRaO9/V0N4nBRr9aooc+Yu2Du7rBD1Eb99ct/lY/fgJr06SYs/f7pi
FNwo3yWpUlg/vHCMuylZqAMWhREYG68oeAf9G16xPM/tYtnJacYSXwT1j9feoGleUnwWw3KLTWMZ
fhUA1A4e7qvrBCz5lwr76d5zEF3Y02KGVYQReSPl1eP/iRN+/1Pff5U//f8DtpGFVIE4bJJF+p/d
8ED6voYh69OvTv4rzuhffvN/GeJdwJW0sAUOghxppv80xAfmP2yauW4kD1JOnOD8yn8Y4m33H5Zp
U9EHxwddTVj8Wf7TEu//g0eCM0eQ1BfkbJz/jSfe/ycO6F+t6AI6KpV8oQ1RAqf9f08rk7ajwRgB
eee7tbR32uq7aO5zxuglrAgsOw0Q1S3pqArkWprQsO77zbjGuEW0sRnEQGo7FPalmi3FBbbmXTMm
ZXvxfL94VtlsvHisbI6prm8lj5U88+Jg/O48v9wDeA63vtMo2OO9/DM5wSqpCy0CSeKWpplEiwKa
XcWRlZDPP6dWha4nbcFCHOjto9B1iaVtfU7Hf+rrzDS8ZTc2vrAtd6juLAM87DrwTHu31OOookRj
AKYDbYEFXZF/uc/qBS/oWKzmc+JlxYejdfrMMgAjlmnTwhos6R28eOjZizGtvwEpe780fbEYOsbu
a2a4oLpIHdExQAp31EVFdW4pqknYll113xcPzarybYVff1PZ+pyaA4DvUlJQ5XT2zgKDE7kjeR5M
YdbvGze+5J0/JvatAlvhQxfq9yxw0WwUrfR/0hqPHa30DstNn6l+k7GVYf620dwGz4Q77Ch3g9qv
NzRj2SemZyNiAnejQeRcCWq2kFlF6Nm3Na3Ua1/pqMgrE0e2bivgpKtybjXN/t0o5vwrq9zyx7Rx
8uy7aWHXjBGPyJIZLv0FpC8zm4e5eFOWK3nV8HZRiUQFGQ6XPIe5Leb0jlq78KRB736ySe3hVRBp
NTdCZzWrklsHa8ca9qMsSiQl6jfkwen571jLTRNi5xnQn58ObXWjEFZMSFQ3cmEjtXtg3hz/NF01
yx0rF33AWRHu/dFfONJTgVoG6qDcUKuqGkRCq38dXMe+ghJ0L4lAl0Bwqr9S+iPyjRiqNjwPKY9i
xFq++W6ZLj/7EGN5jCKRQUfMu+aXxZa52awYZtU+z6vumdLW8OqS5Uti3CDhJcd0dC1lC7IU64Nl
R5gLu0fkDf2GNld2UHhM44dsrefFgWV1H66vyt/MKPU+0Au/Xtvh/NJXFTefdCjptr/5TZjw7JvP
azIYJ4YcYyXNZfPeGDTrTznPb6GYmydvqNejg1eT761qDwDADbwZjRhpB7ZCM25TT7eoJbb6nfLl
uv3WBBa22xVFezAz2uu3uGCC4+Rl4opRBseB7RbafE9b7vcsaB1SFW2NeTwp+QCDseZP7eBH2ARO
S5Nfb3azxTokSA9rL3HrJOInKez1c0711oIS45Sz811PIeXNpsq735zhJZ4ry9WfesrhGd0Mk+Ro
5xfgg81FoiixDXPtEwsTFrpeOvDLDAPbdtH9+9r7RAvSHoSzTV0WvrWhPiE9iGHjLFj/qqWpdmph
+YnMkRzIBe75c6/b+lanPwHg3TS09u5HnH64XP3kLUQbgysM0IxMYigiwxoR3Zeha9poTss2pjOd
Ii4WNaYVEeQs662dKJeNvWyzn3xs5OvqS3k2FfC1bTs4LBAN154/DL4oFG/ZDkFR1bbjZ0nMouMr
wthK+A+z02YtvfbasK9aQOHkBF7KFfOlZTTDZiBpxZw/ivG+bW9xkKWqcSzjR/3oTbKSyFl/FD3N
oF873tNTUYizDJW0tsFo0FKyhu2rOdg54WSavjYhNJB3N0m7C6YG+WlNuKA3lVeuWxQBaPdseQIj
Kv3SzKK2RUDuK1bPaTl8m+1trQ2hpT5xlHgqSoGP/3GNlIyD0Y3cz6phnu8w65PsCL108eLeyjHK
GaR0JcHOvA5Y2rTCP4xhIekBz1PLiZUZ9j+Li9YRzdpnXdZwyrjUrnZl154SQRaj5CdlMmCgSnCd
LnCa0SzYy0NNFdq/s3emvY0j6Zb+K437nQkuwQ2YO8BolyXbsi3baX8hnLaT+xYMrr9+HmZld2W5
qrJuYTCDaeB+ajSybFkSGYw47znP2YjYUfounwofS21ohTF0Z8eu8UhYGUqUr4tmxaVZf8Vf613o
qjRXRtNQS047L4uTj8eDqWuOISWOB5p76vopdiGhLCr6nujLkObD6OKkXjh1isgQleY91e71Z8bo
HkbMLLSQx9GzKSINreuK5Pe1Q/D9vh4JzbBsOFw+LqVq5ICQ6fJVE3eXo6sQWcUgwgffaPV8NZSu
8VWvdcM78BdG1srpbHoYIm/0ntTg6WA6M7O55L61810A93VGctrOmbVJHvGpJ1ecc8wNQTOYPQGm
c2hbzKwWGVvriGabzNhodRkfkzFwH8dE7xlgD/l1ijt8mZk1fP2+jE8EP1AqJ8NgwktcBTW1fmhD
Pb2vGDOujLF9qnTXOquqEyc23OaqxYC4q+1cP9d6qb3juxqChRmaMOKt0toneuJi0CP3ec710D25
ZXwuS107BeUI+nYsXBopOGydtMQktCuqsoU6WNgKpjqciXWsF/DNALbM6HU3wXQdZN4wXwmZVb3E
nIjpg2hDmtTdFI1+KvtdZPjunnbYaNdl/fSaUb2wYiqZoCe0ZXRNXKM55hUKdNU78XOs5FNOhd52
aP1hG8RtsXSdPH4J2lEgH/XpLZzmAnnLxinURcWm1noPKdPDMvANDDe2EWKz2TSmvHTtPH9GKZky
yqbMwVvrWWqQEJO62GdhxeKCzCP2bRSrcz31JekLGV36qS7Xqhld7rkwiRdpCbZIb4S1JWXOgYX5
0Nnm0XLDqcoKYZP0Kb6/1HPWmHebl8lIerQKixQTK0K078ogQpzuzDtdoCEbrZ/QpRHa7lEPO+fO
srFyLzORGtu+scxt4g3e1TjpoQKGPTuCfD3KLp2ECHRF8cRTO6bprXIN/6usM8vlqcxWYllGlc3x
FA2PkuNRatXSDtsiO8UUFtEbQhc4z+8cQJRsFL5zJcrx0ZxIDtPfWp3SCoIVIQi3jrEQGdaLw/TH
WakkjB44MEVy0/teqUEJkdFBhMm0aoBNBVsrwiWDXbsd+z2New11i/hYHzvQUPdFHne3xOmQ6NPc
uO7NyKyXym4UCSiN5cHBHL118kw94SMobySwBbyKYQufqSaG6EQp9yrTuwS3mjUegQDQ6aQhZd+w
ge3pH/e76HME8TbE998pKFJpZJ31ZKgfkRWqk9/Qzjs4crryWgd6LI8tMazsWvKNShlPhGpy960U
WJ0Rvc3xSuuC4uKbdRoA99AtJZIr8Q7XeZ0mTxnAWMT4gnmByQMcNm3NUKH7wiEw8Ta+hdUJ3cXH
6D31N9RcGfS0zO+yFi7DFGwcT37nnq1EYVwn0Y6xE4Qk08SiOnk9TSFRnd/baXabRTkFzlnYHP08
EtyzcIpBWnScc4nihUsaxzGiwh1iRkU69bFiUk5squrDdElYN48ZX3rWQ+IE9dGHoHHrl6Vz21FL
fcnhJTs24Zh91mYrwNLB4PxKvU60nVIShUuGC/bV4DkYippMDc9ePOrjRYnLbNylQHk5IhcmlAXM
D+NOWbb9GmQ0mgLcxJVUaHSmwJNxK3oNpOdfUf4y7QyeXO8UXDjvYRjIdt0lKVkWfAKehMfFd81s
04rNrVn6WKr8xtwwaU8+T5qGpIYf1Np0Y+nzbIu6BwPk2a07mhkhsnY6TbGl3q1vD1+JIRJMzERW
sA+DW9zbzZcBb9mli5nqzIj+QGtZ6BA2BPUclTHZxl54Ee6fABoKPpWxXXSTaV17qduvoPSEiHVE
d/meM9tvaWMSabpr22TuQq4bFg0mpJQ9tab9WQ+NmqKjWjWSAjPZMwPSq1eh1Yo6DRlfwlQob+K8
rx8lGt1bQ1h/l9E09NAhlEzLYRzCPQ6JBs0fvZHIY6HCveaLSdtDZNR3TKyp35bWaCzsMVLPEYfk
bDFI1R7xaJJISB1PAV01muTIkSDeObI3dxUZFuztAXXmBlHkW3vEnI0AWVTVyqryqWbki51/qTMb
wFdXNhd5ngTgSSh9ZpaKhfhELnvakdmadzdWm5AbaRKqugosCj3S/m3IlbnrMR188copf55P2YpX
sPJshUio3emtbE95ZshHKHXjnuAChh8SbuOSdtFpWZFQ4l86nS0GkT2qSnDplX5IsgdGZRksy6xM
XvIykxEjiji8Nsuct5CmlQsXXyTJTUusUyrLsbhdcgSzLDlpMo6xEmQtPoDpWxHnYICNHjX9DBbF
v8WtQpmENyFjgfDB/pLUHRuSsrOaiybGQLuiSEyMC2gYFSPIGu4+4zeNo2mUzA9loBk7qRq+Grbx
eo5A3tm9vFA8kV7i1GGiVsRBQ9QCtBEqIQkgsYqUCjrGFTjkJiq2MEE0Dn4hmdDgRKzXWYMgihDZ
cKtL5j9vuWcw2hkGKmTYRhLLcdtIekvMOvHeRz96H8IU365MWUk0QHE3Neae+9yezxTKwzOE93jE
E+IZ6FpUKxxzRxGr0rti16Vusy/aMaqhjuTDgzAdU9/mxGD3Wt0Fz3hY4no5OVN2WfjIaHtLyil8
dNtBsQF0e0bA/1dkqj8FNvwG6/BvJGYBYfipjvW/muYl/1HA+uUHftGufOeTbljwhhFf6cz1Z0DE
LzAHz6dX2+d3OwKGHjAg/uWf2pX7CV3KZqfl8MNUQcN5+K5dzbIWFbBoV4Zr29R7/60ybudDrQRM
fxi4vBLile9SavGNKfoDlrOM3F6PtMbaBRG7v4U+aJx7KPuykq2O3FOgCU/ZyYs56hA3tLxiScYG
sCi9ooSOIuXCIJO27krUF2VsCk+f7IWV23SLDlobQHweBRQDNvxrE3jm+2jMaVuNkdSFsLOWhxDG
nKXwu3iP7LFO7KI5ibgwb3wsUlchSQCcElpxHBCH9g1t2ID+xR2lec2ST3Dc6jxSVyWJyMukYUrl
gSvinLS2HevCpY8Tna1dTbKfluRM6bGc1fVJzs1FuCFXIqV9Er/iuCxr/zIINQOyShNuxRQ9g6GL
Dzy/yL6S0yPN2/ib0rbemArYy75rXok00hJVxd5C0QoNRDgY94Tq1M3k+/1FGuvRm187HWuX0VwU
hnpxB83b6a4uNxx1xar3eU0v5ojfucaVqoe3qSXloA8js65Eu3JqznLJ9AVTyV4LrZXKg8ehtg5Y
PY6Cuawa24tcGKBZdAK/bq29Cjbcm2Cw3rKs2jZiruNzRp4KI41bvXUOfVYy3J3T2k7JzeWUAmFw
Tx6zyB7WynU/O4l+TKRBYZi76htkubgFWQrt0ltxEua53PPYNGuDxw/E3zEWW7AHnKwzdUplxc5u
Gpp8LQBw7PpKfBl7jfCSdPSbyXLM67G1iUhK0T7njUnYvHS68NUMHDbjKA8nTpvsmoxevErZatus
rb3rPA/dgzU441fpq27RihjRpSQxeiAu1x9llF7rRhV/FbIn6zJW1sIItXCRNyXaf5yptypFsGQS
cGvU/kVKqm9phAbjnkmT1jWTZ1SNzDulJYpF70y3XlTepK6+1cLePU153O9tqlwOca0cBqJpYJ6I
/der2B5fMzsZNp6WUdzUdpdsO/carDCo3GaT3rpuC/GBWN1h0D1caA6hxKTqMcdb07IUxXhQqXtt
aMK+VWHTGEfX5eGPk7gw6lVBQSV5A5FSCKRyBtlLLetD9rY+nQ+LpOPNrrJKcN8lTsuYymnjPFuL
CWFsizTn8IY5Dd5Kz/MxNll5g3U4tqCnwuHX6fjtavxoFcaycN24aLNkxaLYwW5WArsOsqDHuZ4Y
+FFoFI5g+YcSS7cm4lztWsOv1DIy0wYSSgob7JHIKk9x7mdPTas054kGS7n0lmaHzHFlR/hBoGSQ
qjlQ2pj1G4+QoEHfspQeXvqa0WhqZ1r5tULF8XldbM8bnVpxfxlir3SYtgWFQA33vXA9+iFWt7DT
7XIbWc5oLkobv85a4aSKNkGuec0b7VVRTurLg4NhlCM+VGRJ+1k3w/Gx6LljfJVgRg2lN4LOM+J6
ATslKnckBTPieZ3GAYk5KU9nu8zA1jAb5MNyU41kkli3/Bn3aaJzhyjyI2aMTz1NivwOIUa990Fd
CrI4HHcIXsVGenLKJE82UysKb50rUtNXUcqB/MBZJNqG3UAOGwGMSIXueJO14kxVJdu8jVxjT35W
Za+11Np447spGS0z9wKC6Z3BfM+nG4NihuiW+YK+xpLMC7b0JCqD1OBjUUVuux+DQdqLmkxBVk4X
jmaaz6kTR/NmQb30COQC7MdQX7ZlAxwi8qZknw8MDz0shjaoWaxSzTlR7jlSw2evSIZVU9Tjk2f3
NbbxKLuxEoNlLw7BnxSFuhOQszZd13hPoVkzKKX9b3o29Omtd1pSunpbPASaBCxVrLSGM3VO1uvg
8Hsl4jGzHapYh77Lj0p2qbX1tYBPlEjonGztNWb7uBuvR5nRsBYNVA+FfaXMVekicK/Ngja9A6v2
Q6fE4G6cqKbQMncz6zbI2CtRtOvizoWBwtZtliBHzLHDrZ2Rrd3RhRDOHQQpJBnXiN5Irxj0Kcd5
E82HyPgsS5Ipz0y3lbyYiLhhEuzixlnUHDzopeS41Q9fBnyDtO1yLRsLD3M6AjrdXUbQkNocmu6k
1BhfCw2rfsd85NKz2psxbcU+iJwEeZsixyZj6KlNuotRLBuemsGubipNR7rsABDBTMvGmzGQeXbq
OCV+KTjS7dp06vcAoF2NgLWXvzhBbNzAfcdKjMHzelB5x7QWSPGXkOHtYxbDAYC/gj7NoKUNGOYo
y/vqZVNNF2Hbfw0YkLbL2C/d7AxjgcksrQ1yaVpOFK3dUk+yr7HnkJxPtEi/SrvOuS1Lw3nMey3Z
xl1suhsa7pzsaIB6YFUYo7VGffW5DOsK6SXti3fT9cqvHXiBz31tkuGuRYRcbOdkyvEp4SyJBzwV
0KmtyzBrtPyS7Is4E2+t82NR0e1LQK0UDkkOrUvWqC0eQiLlU5QYo0AlFSrehWOk4q3UZHfjpDQ/
62WRHYsYAxs2w8C9z6RhP08tT5B4ZFVduPkYfnY6jeDIYITQcMaMqBEApZVnus6OEga0mtA2yMea
at/RpNuRtcWWY7e9rrFGlDKdcY4523FtFOz0/am5H2jMu8LUg4VvCBtMU3TxTiQRNZgRs1JS9KyS
dUYNMP3rcBKnMQN2iATfqKGFqG1ZjX0jky77nDchF10ZhtacCu4CizOfD7HCL6SF8T5oVUCo2tTk
jiEqz786ZF5ygy1RG69tB4ftjaaPHAeGMmEgD0ObOWRjuSOUN/wA1Ln0WZguci3tqQrysJxsQ4n8
fIwLzRmXXdF3NwaBqvCCgmxbP/ZJMnE69Mm24LOZNYuhAqOTaGN7G1CVXD0EQCUGSAyM8Ji1MDTV
10XKLe8TBIEoANglBWK27VXtn4Mhd24QtnssQNRmLx0CcTtNTNbOt71hVZmxSQWqmV9bE9YRfGiQ
60SEv33EL7nSkmY6NoHwFA3rlnaIyf3Xy4pgTs8F0clXFBImXwTc2D5Y+lUz9gQJZHCrc8MvZRMH
a+Xg+GuyqvvsGW19yJM4vE8aaovSpkc01ysnPAs7hEjE7qbgGy5JjI1eXR2x23jp1hIi8Xf45z2+
1krZ1jIg76VOJtiFaw+SApnpyLoXPcOmbRZr0FdLJ2VZzpVDZ3CVJPkeice6H40u5mseqc5Y+2Pb
3g1W0tNkMHpoOeYUvvGYY7EM0K2HRddHVrjLYj1YG5w/Xioj9w8jbqnTJMpT7RrDtiHrtMj8KoNG
ONlHqAwQylv7UE9oj4WpzqETp8aCWeahBxfwwgMjuQtdM3ur2qrb1mlt1Jve0lKCVpICHY4y9VsY
FmzBSjvYh5ne77Iu5wFVDZFL5iGWibHWGwsCL9UsGJoIn8otgYswuLQj2FNN2WN47AdQIalgSF6r
sXytmvFV1RoGMmXEOUAx3bRrvPEZPAqcVslfofp/y8/9/YnnA2PTIrqrl2BI9qLMakZddiMvikxL
zj94Gf4AUfdHLwO7z0fGw2Jg2h/4dN2UF2UQaP2eBlZmb9A8kmU91oy9f/46Mwr9V/PB/Hbm79cQ
pBI4EfJ/f8vBM3zNVGRv2v3UFu1LMj/hwUdzIghHL4uYYqTxe9Zh/FkIlVP48/NXN+dP6+PLu5bl
Ct9zOd1+fJsxSqYGJojGaknPNyEkdWd6ubMBEAdjt2+yG68mL8f4fHyilATPDruJTvfPE7sL8W2b
YYSkQWbXksO+fxpOg8t4zrFqPEI6unq1SCaFxVHr4+y6kZKlqnSnAI9WVOJA9v8C7v/7N8RJmCGM
yQdLg4f9AT0/Ea12s7Kt9lPcNAR80pgIVkdZgr5u0dl5xoeZZ+1//jH+/kUxBGBhoeuEGJyrf7gm
JSAt0SEX8aLhdLRchnq5wggXXsTuWL/8/MVmRuNvvzJe7JsxhvQyqxOemR8Z76FvmUXm5WrfTzFl
a9J8G0Cg5vqg/uJd/f4WsLgsbTiRJFEFDWq/fSHAQUZVIprvYzKV6loYFdpaWBh2u/v5O/qG5v/w
lmxfcIpkm2ji9vnwpYUAYBN7srO9Ejgno5YtRdAOUXhE/bDaVWpaJl3oeOV8Hnl9c532rSVOkKaW
PIiit/bb7q8ySMwQ8gqmHYot+0P5ba/48z/1d5+JYZhcWlQpGnws9sz2/M2Hr4lQydKL92kU6e6+
8lp1GsqBw9Lffh3Q9vYv5ijb8j989k4dNajobbQvAg4DK0mEIl6FQZZdfHud/2cU139XURC3GbLw
LMz9ucHt6iV8yV5moP57oWI17t/+8z9+/bnv+qD9yTRBPkPRd02Wm1+9bb71ybJMZ26c1MlNEwL+
VR90PqEyseTiChM6xXN8u//UB+1PWFFobgD66tj8SvfveNvMb9fJr3eW62G6syzP8dAHPY+8yodC
CAJziNEjW5SRoM+6cF/wj/hku2R+FYkxwG7e2mCj8vuygqBoUym/hYKSvQzCdolZNcZiYMeW2JCU
ItzsBZlSrPzefUjfzSqTPp08LfYgzKPRsmdydtNJO58jaJKWwTa7w19P4s2XcudF4inpGmbFzuXY
TAr6eEwpJvNB1QU3LTVCTgEVGplGkiUO2H9jPJUz+9kl7Z1jaXlxibBsWWfXTWmCFvH86TLLJyzB
vQJHBnybZEmzg/LRb/qmY+fKsHASnsHMEqfyqs6hFJA3m9vBtVXp9zekNnd8g2+4ixZ9lR/zljhM
Y94yejiw3wJIiHxDpfZX2yCnpEVBQp4n9aatGcm7mM/2uoxzTs2TVm0Z5twPerRwtP7Y2nyYvqos
/Aa85dhKr0RB4a0W0MJc1Zdols0SU0O+jQf1WpnjdBU8ND4xwabOqCOu2wthRNnVqKkHxx5XWd2u
mW6MdU402/CKr0rQS+E7sPstY8UemRL05Fz7IRCH3GS1IBJCn/eCR1bI9B8q3zizGu0O9Hgz3Lfx
ZO8tQqcEVLH8p+V6rFo+GrcOd3kZRneA028jq/sS2COhqEZkm2EYOaKBW7y2LQzMmc2QfwwqSqBC
jo6egmwNutrem/40nq28vLVSToaE3kS7SvJovNOzALWlaVS1BecfXg/OpZ/b95aeUNGbOOQ2pEb0
s4Mdr4trJMVVmjqPYTZecQYZl6odxDbp5TGUzV6bYC8wK+lD2uyHeD3aY8xX1VxJcI+gBHUcTlCD
fGsHMCiD0jgma2WsYR4sdY5sDLNJmQYDcl9l1ldjpx8hhnQk6ouF53mbkgna0Oj3Qf4A9GGAeglU
n9k2r53sa0b7Mqv0ezOWpNbGzqY7m6LPTRGBWMy93tjW8GMK23gRgRYfJqwDWeJfWum0EHp+4Qb1
yVIex7JkVabofFNkPHV00uDqKOO1QKO68x26k2Cr8XtH18Y2JrXrCW/8yegntYl9I8KH7dmvTLrb
g5JprJbNaONZq63qwgqa8ZAI6b3Yskb0b0E0aIbv7QtDtvssCbLHxAp9EJxtEx8jEyJelIRyN8JV
OTfuANy2UM0eD8P4hCWcite6L0+EXru96xbZc4qD5m4SFEAAQ2EMXhU8sZ3SP4AcdzaG0/cbZRjh
vtUAfuSdyM9zuPjsVXl7kehVfp+D+d3UnYngLCtfvjCxI8htRN2V6H2C0baojmnn9TdGW1hXtjG1
F0qXxpORZO3aDcsBz4vvHGqGdHsZgaIBpRS9W2JAEWvyUb4Bls975ox86lPbg3Wp/P6IVVwdssAz
jCVMD/3k4aO57S3AfEZgGsc8LaP7kS/rEr1RHrlU3COER/2YixIfO80vxhJsn7s1Mmbi2NmgqaIJ
3ZAM0ou/2A6x8/+wxcPcbAp8dizcM0nc+ND5ACiYgEIzhXuPrNRVJWTZ7TkON1e1VQB0DSgbroy+
X4ymAderZxTSU5mxtgctXAvV3jtdo22YJhO8dZOGFbYxypUNfghpDZcY2cXwSQUt3ZpUYtonp9CT
g9LzK0DP+GlrfzpVc45SBF52OYYZX1Qd3dsBER0pfHtHH2i+7JgpL6LRPkvJcb5t+/zaaUMar5Bp
g3PV96a29e0RVxyYobqAbsIvJqgR+RWjn2qkD4FiiiVH+G7Y6nkYYd0LRPkEvgZYAPSecs3QvLgH
8Oc90Y96gU1i2mimd9u6TBpiCLyj5ayqArdrrdxiFesZKP28OGoWSbsxNxR/lXVbDWoOjtwF0kXv
IDnD3N2+oAJ4WE6EOoD8YW7F6DItXZLwSyPKDw3EtUMgy6Mbc/vHMURJxF96BGJcza0c17mdM3vp
nfA1YiZ9UXS92GgUACwKoO9X5ZjA/vCxPrlRmtxWkxOuqjbMr3CruLN5lEtpcrmqJg4Vx77CmwQX
oTnSNupftqSf70lnm8cwduqr1Pb1WyQ6/UREC48YmUZ14LseENOcmDYV5V8aDsbShUe/2BsAlk5g
Kraidxo/MH7LYNjI+U7B2eEcvPnuMef7qJ3vqKzx2ouIidNVqhXDTVXH9VHoBc/niOREBeNxRedn
Q5cPEtai9UWzSec72J/vZX2+qwMsfmfaDIZLpqFAejur39TzOkBFBXoGLMRDJcp02dXFfB3U3p03
ryHxvJpM87oyzSuMmNcae1511Lz+ELUMz4Cy5Q6NSt+nnkFVHpos7AMlc7B2U7tPQODuK9WHh0y1
xJuV470kmTkCJ9U4dzqpe4pyn4WRItD2wAbEeXUwBG+HBDJiR77mxH+tXbfgdrH5Ue8Wx5zrlmML
p5jmbYnxuJl8dih4cXjbnp8y9zBtd87txAgtgI4GZx5HWXKkYguzy1XhJt5St+uZ9+76zbQy/QH/
CRzsAADE1ITVI0dXianYThnDQFpP1a78Np5BagoJSjfxPLZRXteuLWhVPbddTJGjzmATalUUofX5
41CH63yycfYMtg0ZRApg59wGCQ5qPLfXltaZl1442DeD5hqbDLfUWiakwZpJ4lmFpcugqXaiDIgh
w8Ieuav0Ke2rgi9Wh+1rxdyJQZV0Cbau228DrC6ZiBO5LJufpyxjujV9m3Sxr2TqNUijNqiKVuZt
qmo+l6K+cQPcNlOS9MhJgBeVWewaCrw3iavuVQcFhgY46DaX+FiqS8EElMmuFizZozKQkRA7dBAR
CyOA/1SR/1vlZdUvLHLRC71Lnukb6TdjAnuwsOqlJ62l58NKCvS6vyoV96jTyC+x+yWrNR8+TRCz
3uDVBE3XH60S/nDCjNBlVih84zaZh4cDU0RjHidGRH3h6UrEAqSeg8JlsiNURJVrbF3gC74t54mk
E+P00Hj+zwjE12weV/IdhbDrGGHKqD/xOL+f5smmLfoIVsXULXqmOIckxTA49KV6MDz4VIlRj1/9
0uAabEMS/cuGc2tCk1bshv9t/vjlUHYeq/f//I+XtzxmhW+UjF/V789rggfon5/zlhGHvPh3MaZv
J8T5J3856bnOJ4+O+bn8CTeIcObWyF+cIPwLcrepM+WzKBFzEWy+G0Es/RNxIzJMtuAYRt3irwc9
/mnu4uARzzmf9RtN5H/+D07T4Xv5XZ1sPvz/fxRtfipjlkGOobPu8MM5j9MnewYdQwp/hY4m9OGc
B5QEw3qejFuHMON9DlnnMyJyeOmZQaQWrH/DExbyL4Ar5Tt3TPHcw5hYOoD62rVo+nLtdiA5XJ5A
nwEWlBcdrmBQpnH2Zmdh+/jfosM3heC/djHy3fz5xbh6yV+Kf3BB/oPM4h9cyfzw9+vR/OQbBOTm
5jpKZcSvziRX/0QZJeVkGHJc4dBX9q8L0uSCtJABPMfxTMPkyvtVedA/Yd8j/2ZTimrYqBJ/54L0
ZxXyxwtyDvshndM0agiksm9b3B+MSZWE/i4KQ1DYEn9tXefKlfa2cvxzEhB205k0ZCPiQacFZ2Cj
N2ySnnjsb1v/OeqxFcFaP2BpekhbZ0sN+8bQtHVyJHN/oXqGU27G86O7jHr9gVjJNlXhhtnWNgEf
o1fYswNQOdUB8KHTkjHu+dm6OGaJ3Ik626eOdUPu+AqT0bavxY0IDEp8F6YTfhnCiJSCv/ay+s7T
qrtpCNaBYy1FhEEl18EvfpmyuxEWTpJPW3sABCn6S7fy9uzvjnABrgoxPFQWRa+qOCG3r6tx3EIh
WSRSAUcPzowJseME4tw44U72yXUeCKhykU8Aw5a7KeAgmoTgyUJ3Z1WMn2O7wyvon3Hxfk4EHxnn
460VOHtmLmtk4FdNIW0gXggILz9ced9Xmd+sKvOq8bsvETUdYxjXGekH/v2HL5E8lgliXxNrAM8r
utPAYOfHsK+v7XG8diUA1wg0dDq5aw3cC+Hc5c//gI/ld4L1zNFx0SGsobBZH1unOTF4pW8y5dNw
p1dVfPRaCbyPvVg32vY6jUzixKmzRfQlsjE9dEVsHW3D1vY5yfiFu3gfLSVhzUpniS0hhtsJRRtQ
/HHI5K6t5wOsF2p7XTFAnRp9iaktX22xmvhsREj3eX227i2f4WvmMDcLQBX41qEe0EBoF2Gb0Jg0
IgRQl4bppqUyBsotbbOm8WjV5iFwsQok7aGoo/qiZIZ++PsL6X/Nr/mn/9X/hzVcpmNhi/zJGnlq
39rX6F3K8ccF8vuP/bI6euYnHtWg2Igdo/OKH0q47E/23K5uf1/l5n/5/rg2eJALkyWQOQQSLBWP
/1odDdZUk4GCj6ZrovuzcH54PP/scY019Df3leMQhGZlJhzJVe16H873duWPelu1NOx59lMwcAr2
mDGi97tL0hW4lut22IS+e6wK6/WHT+oP7unfjqp4HHx46Q+3tJkYbkoZML5A3JMkIGHKRsBcqzT4
0td4B3/+aub8Tn5cQVxTR77gWWDr+GRNc963/LCCQNTlwIVjbkMYQVyEdcCJLHErNEsz3YxNhaU/
SbZ809TmZq239t3OhS6o26vOaT/Tnws3dQofkjw9YVu9xLVHIW1mL5QePNY1GeG0VnhOyuRggOb4
q/XvD/58HzoIkx7BE5ELav4if/jzTZljDexqkOmpKncMUsk+lEqT+LJos9LUhJe0Gj3ohdZw8tsk
vqPo+docan0FbqFZ6G39OeX8DyZOf6L99giwnPwFAVQX4ZD0yV7VlNkPPf+tmfegMz1Ca2HvbSHZ
FRxuxnof1qZ+1ooZMQVRYlfiyhxhG7vTzUinUBLF686OboUNQmnsvzSpvUj7aN21hOoCcNZhnN6g
Q9xW2Xgn6rcRB+cCsf15wKizhWU/rpSVu5el9DGcGlW6xwjR7s0IwCFVV9nK9ngzQ2E9CGlYWzMz
w7OT6jcFCgruBF4ZFlB2NGH6v0AAdbelnwzbIVLygNBATqgudHfhwJ1cCaONsYBxihOkDLHSpuHG
dgNiQlrgXwicFUfPm2VSP2nA+JB4mPKmuFBN6T2Ti6booojLa8+e0+p+FbYzo/h5SAOI431kfiEd
CVKmVfpFZxwIQPVXPSIxVFOvaTYUfZQbpjfTRYHpCm8c6cOuIBQIM+QtjhPOByDUyV3h/DLrfiOc
2YgFi60cowsQc0+xF13Uwr8nRAbyjK/Gbka5Mxp+oIK6u+vzIFlleVNfclRYD215Jo9Q/MVw2/y4
q2IjJeZbWHBJ4kswOWr8eD3ioDTqSo1YvLOsCHGyTog8Va14ChewRrd4qq0z5L7hSMOG9hwFtlEv
Kg9aUxDX5ZFt4/1ggjIifHXo29Z7HyBT3lmpnm0bO8CT7Tc6yn+ZPuJ4ai9dWkq+/v1H1v9JbeS/
98BRYO/4yd7/PYviHx9pv0wb5x/6vud3mSn67F/QhdkN8b8/nEE9TCQUKhIFsOZH1b+eaqbHwZWe
RZ+bzBDQN7ho/jlt9D7N80dOjvMjl99o/q2n2nz1/bjY6/jpWCSZ0Vs8ejkl//bqjAu7yvnz6m0s
I/ChdV+rc9uF/eeoU921NfTnVpPaLUPE+amTRRWOJ5hvdmVAcLH7JHui/KJ7gTMW74PUb9cFQebl
RIE05iXF5COLUbUcRvv8eoZJ2KtOIe7p98RxvnCgdSDiUBFZ40NcOfQxnxD+g3MNIHdGwTePVily
MOi4tjS6JxZNkPJUKam4KLPukBmEggbL6R+sxNGpT8SjEkZ+u/JZ+u/K0v88aImAuhGW4O5JtTka
BA0Ah/AaTTNeNfNq0Y71nZ5b0TpqEMutSvnoz1q6altV34lcaOuGprZ12BOs9yT1b3GQEtnU/f7R
HCm2hE+aff3f7J3JdttI1q3f5c5RC30zuBOQYE9RfeMJlmRJ6LsI9E9/Pyiz6tqu/J1/zatyrUpn
pmUSIBFx4py9v+1BKyIvIIrfXLuAowAQ560rXdS8cNAIFwrt3jdtw1ubveEkjNdGbPRgy7Vv5EVw
qDetDvOX650GYGXTSp+hQOCiw2RooI6rl1Ubm2Nj9upLpRF/oGJoTFG9amg4RW+drRZAH9OwzH1E
IS+PcaMhnINMUgM/96pu+KNI+K8G4W/aATrHG+ql/3k9uLwnMn79cUH480f+rHGdf1BDsiGwGLh/
dpf+9CZpPNf8ZWnq8hh+9Qb+6U3S/4Fu5Ufmzr9WA835B75selH0PVHjsGL8J6sBiJ5flgO4Ouih
DFYqWgFIlpbN7IfiKaGbDA+UoU2dV42yqgorL0llUtRz7Ig4EA6WnK7WwoBBMIByPS/CExbHfBPm
Y3OEuqoF8OsAbuNahTEZLlu+rrcO5IJwcMRWBxl7HrUkdnwPQWAA18Yl4SzBJFh6U/M8Jxj0QDCD
jjTymFQVzv9d0bdBTzLZrmkiYjFpoLQIbtveW1vMqpf4HSwI7PomX3NiYUS5193cPCZEVYG8rU0Z
hDhdzkMqsgZPicACWXij8hHKjtY+41/vLfGwEKrq4J4r4rgOVYfK2S/IPDu5lmE/SZZReCBqTB2D
wRK0gUhEL9e60TG1h/72mLb5y0D+6JkW830IxgB7edFD2LHFK7EMmML1Jr4NRWvfYaHMz2qS6tsR
61OgOgmWzqnEBz8pCm4DdU+1CqyvKufA49YhhE5jggQJ4sB2NNwKhKTAcV2yMMf8qEdtsopk9o76
3fI7u0puQ0LiGR3XeWA5/fRtBNJzipk7zEyvFAKsErSw+FRofx6yxZy0kqoxo2OABsJEA03AUYEy
T+AEgU8UjLm2FCTjkJITEDvugxbN6rU9yfGWjPgcyjwzNsrmNGoulNST8KFry9fKiYdmP/RVd8QP
De5frYbwUrkFav2icfFQF4JTxXGoNaCdOIli01ccUHY0DSLvWvYRMCe7hSpFXq1ZHuRIYyWEZaez
+LmMGyOI1MnGhla21ocsvYo8qV8lvZJ+U3rE3KEEglCmSIe5pD6/bSLPfajxjQVW644n/DT9pcWA
ykfp9Qu7d3RhOEBG6u/cBcnrkwWsP3XWYD9WGN5g0w1Cu8EmaIPKAPWxJsy22nUQ2XeFZw7EtnX4
QFpsL2+NlaQ3EvdxYCjkOwVpMk3RCXlLBJst1xiSTrkIV5TCyS1KMXfXOhl2/ywaN0wpwcuEWV/t
mtqpzkyu203U3+ki6VYIHjaOEj9WQzOCQ576q67lHmvSSV8QgnTXViX6lUVMLhtVeWlH7Qp3MjEU
HY2ODBbCOW0UbpkisP9qRXMm0cEotrlltTzVmHIwCYuEETWsAyw4QhcAVmAIzStiWq21qajDBwmn
L62Ri1PKXPs8NN4I/Bx5OopRp9l1sjBP1TRWy/CM8xFNlfCSSsnpq1zqV2hHItzogwbXW6iJcwPD
UWJcFzFBzgSVnqUHX2jUzbJYa6Kmw4N1YcEhIy3cD64uuz22eZshTm+40zfEGYlxJ10mYNIqq/cc
IggHN62x7ZrCGROH8LWmS7QnJYrHEdEEvkxadb3bkDZiZsQN2WHoncqqIQfQmoitZYqfoZfuQMQf
Ehi9xkolsvchptmG96AtnqBkmMVhMclvE8QU6YKL7dINwm+dWFK6GBkt+S5/Aswy0BoVirVisX/s
GiZZGlXUFQqFEj8EGk4MV7aT+S68onfHSR3IYmF+Fpw1N2SQkMSCcWqRCc0G6N9xeoN2wQBYjMz1
ljpk5Cliha2hgqdtTSoMsQkIPGZrgo5lNtV71LfVzWza4UeqSDwzTje/i2HsUaKr/MEazpUoyA0C
XrZjZFjyPmFo6a5MBP/Rqo0rd7ydZEMumoMCibZpw2/dRynypbYU4RAkKcUePi7Oc+sCMQGu6MKp
9X3RGR3KBj0ZKAKzaKYIArzgG0j0DZiiNggk6ZrC3i45GohapJedR6si0cSJjE2NrITOYcf8VMda
siVleF6pHsJjLY8uuSzyk3DxwwCsHTG8mNHsG2w8fjHI+kCw4wxAEbbUdsIifo7wKj1YSROdWobp
sT+bev2tE1zOSmQ8Er4cxhrPWYfLM1LAzm4apzC8VZHXTrrLonIA4gbh6LtqNgsFOZu8t7hRCPSp
gZQBqHTi2fCnRiVq2nZmQw/UYpom0oUsbPJZTCyCdBypBwXRAfGRvnScrG1oQ6TksMAnFxw+4jgU
8VDt07k290Ot053OTbAwtFZ5CvDjHCuA4bsBR54HSX8cEXWxTKpD3N46Y0dqYC7U16adCYSjbwWN
Puzu1DGjRw2YSlGhlAgH+nnZ47nX58x+FdGk5uuMcfiT6KzOW5l2nUa7rJ37mCmqPds+PWSSP1Xs
Kyt1GqaPCAnkg6W1w13rRdTqVT+1dzYyymPDM+yPim7earIxn7BCFZwRSvMgLTxkVioWtwsRX15u
jqvOjpE9EIEze/NBb3lgfanlmPrzCo9YZ5jQFOCXo8hIyLuF6cRHyUEAavC0kWJQyq2Zm8YnhdPU
bWrFLaYbI0J9YSF9W/50EgYyrbCjbQLL5yEdU9Y7tN9tfWgqrxUBhqH2ojjQS31m7t5TnZO0RVor
s4TMVBvUZ4rWh6tQISVybYPCNcHEiQwqVCb5oNE8p8UFLU3cBm4v85cmzNSLSBUY3LhSsR6Lfiqp
IeAIr1Un714aEAWwkGfEixGYeUDKlrxDrKK8Lg04fYWq0EmCDqMR5QdAk1UM2qghKM4sLlw1MKlY
UeXOrlVyrbO4kx8S+ZKBlXiIXD90mX3uqqnFXiQ6ZDdLIEGCWkiNWbDtWVPgS7UF445RJeoZV509
QEzX6nc6HigLnAWMJWM0aCtzaL67WHR29QLQ6hArIpX74mq1+sLYYmeaA7TlkLfSVI1erAXHZalp
/6Qk2Oh87E7pudeqB3doIHjlMom0ABCkdSwWxFf6RfuK4X5hzA/ZykLxPC9QMPHFB+s7UGFjhh7N
j9UlUaEifqb4oorlNryGTZl1zXX6xR3DpsjhKf/ikaUNaDJAolDKInUhlkWWPjxPcQHHLMu0NKJd
ayKmM3GRdqMdf+CcJq8k7JntB3AfQXwkX4S0cYGlYTesiRpBlqj7jTQXh65Bulm4QNb6roNG3ABe
axYEm7DBS9QLlk1ZAG2cbbcUpLsMYAXufDh7G0x5kMe+2G7ZgnkzFuDbsITdqHKhwCVFJp+GxMuw
bwOJY99nPYGboR+iBSLXEnB3qjiJ3zdERKzyNiyIeAY7h8M9z5EdqM1bBGo8QdkRG9/HoloNYR+E
WTW/xFDsyEoFUmur0U6GOpGjLgF/kW8u6Dvvi4JHRglEvAxq+xbOnL60RoX6rJkLPS9uSKnDW45+
EYGJuxgzIO2RRAZ1D3sIs5zB6/SGhbbM3qBGw+hDh6euB7NCBGJ/UfxQE9U7cswxGbEHkAhKGBcU
m+ExXBCA1hcNUOJV6xZAYP/FCqSvCjdQkV8MwS+eYLmgBd0sL7GdLMBBgmaLNwgN4llPMtNaF32m
EMaqQCHEWcKfvaALWYGIu+9UA1B/tsAN1QVzaKo41dcMHrxrDMTijvE+RMTQzvLaB+DVfLO/mImy
TkttTYGG73aBKnbRF1/xi7XIg0dhmCwIRm+BMVpab5yAuejXxajJB/eL2mh8ERyNBeZY4oFmxrYg
Hs0F9si3B+5jsSAgzXbykl01J96R7j/Rt2pF4g0jx4HupPrFkUxlu0RAApfMvziTinSiZ7o5Npj7
gSY7KAc+wJbMoJZEI0V79VzZHVBzRudBBwzjT+5Sgn3xLdFcw7rMVSM0fGpCdGweMMwphP5EX3xh
ZM5fvMx4QWeySKSv6TA4ZzK14USjXyoD7hm8zd5Fg9e3pMuuxy8iJ4zER7lAOnlYTSQ3gDv72tAO
RGeMMBbBesZYNgNWVeSEX9RPHCEQQLUvGmg0Tzj/vhChXg1SUCzg0LGz0pOoLY+m7RdZtJdCezMW
3Chi7WgFeFnf0MHXVkyr66CCTypCGOvNgiz1jDi/GOlcXleOvaCfFZQ6nkSf49dVuh8EHjiQ682r
R2K1D+za+pZkBBeMX7TU+guc6pXpW73AVGc4U3ddoWXPOgqsO5xXnP+QgzVXKLXDYatrJWxQer7k
AvBgwWttVSyY7QJx1XksgrEYYA+R4gmgf1oRFzVhqQSRx3Xf0BZ0IRPUeF47x3OO0xcxFpRMTkY6
LLhxprhYCzuHLisW0Ky9IGfdKnSDZsHQLk5UmvELnDZqve7aXoC1xA4rZL71+R3rRXOKYIyWVEZg
XPssBks3sOFO89Tf64NyIJOYE5WWvzgpq+3omdEdqMyHH9offzG8gtvyU4PRhrJC/9OxkbkAV1kk
Dz92FFyDG0tTjXBRoaU3NWroKzO2tfUM/eeQzOTLayWJOb9/0V+lNTZ+MrD9CGy+DBTGL8M6PdGq
GZ3juAVWnZ+oMtrrKBwqGLEkndez6DYcyew9YLrm4/ev/G+zOl6ZtgmNWWdRHS194B8vt7aswWGk
MG8bt4a6QuhNjwnYVo5iWuTkOCwX8wr9pf+24v6mFed4Ku6z3zbnt9VPnbh//cSfnXmTeTN6Do0R
8c+cIMf4h03rSHe0P7w+P86bLRpuNOdIF0T5uahv/n8vzqRpD15IhTtED3ZRm/0H8+Z/+yLxxmj8
4zZFR6H9oTf/oROnOwyVrXwYAmysFdNGgpKIWNZXmhZXvkKU6x+usp/kaT8KR34dBCw3QrV5QYsJ
PPfjl+cUJKjMbPzFwWziwZzN6LOf8d5AlBn/dsC8PAQ/Dh14LaSjDgYnLIqO9Su9u7ORMhlxDEVC
U0GyFhbZg6AdtH2q6/U5C6P+3M3gkHK9LddRI7x3MPH9NdjnbE+zhRIDIY124GDCxkX0kZn5mReJ
J5ND1oCfnuODbUfaoVN1+TYNsxWupIZQHt6uC72+mHOgrYNRkZfeGZQrmXZf0NrvN/TmG+1IWpN6
ncAuhZ+QzCHnJ8dkU4yrgJl/uhxY8+6zA9v0QSsCJmiJebQK8/naI8Td8NtmirZN36Ur8Df9TWrP
yrGBmN7DOiTeklOhx1vpnDB8Qr1I402PKbn9JMqRkEYuaWtwyxRnW88G3X0OjsR3QJ1BbSxNmgNI
xXvxWaSKODjS3jsR3weNjlegOOWpnOz7JT6uXkM5DQ9zpMzHhGP29TjmpzGGfmKGas+AuX5WCnLb
UU/epOZMp2xRtI8duTCeHpPgKpqV4SnitOTTr9Su64EwU9nmGhTctWK7hI1lVhZoypgdlEk+J0zS
/WI0MxxPCYFSBLKTzuBctWWabnLpQaYnc9XQxjZAsIhtoJzIqSShgzwgqSu3U9OvLY0Dqq3Rh3Kx
XTOZ9fZ6o/VoCwxeXqDfoYT7LFPccLRc+AU7mqMCJcVm4K36HC9QFUt1bZu8uG4XDPRd9Wbo0AR1
leDRKaPXSM/ORcnsapGODbBCfE2i7jJLZYvf+KbKxNpd7mhmLIZWM74D5RGt1FF/tzpa3Zmzb6o0
X+VaAQdrdH1qghp/nHETGsQZV4X2ntrFhulsw9m13bLhfKq6nQVY5J45LX32oXuFJOEz85JT0UaH
qM60VdaHC1S2uYtoinDYoljvj3GYbVuDBI0c0TLqE753KDAo10La4KfUMAd1nRLMcGlaTstkRJV9
ShcSU41vDPlR9cYPG2g3IbTC3mTFciwZkch7EfL0nkIg6AxcFLNbcqz1Gg7fpnulT3FEcPT4Fofy
aaQ9RRdnkNyMDEF2SK6hEZ0mpNiEMJmhXykyXOlORZYZrAJCCo8Rx4+tLfTnjMZAHIJngSAJ3WNI
8KVhBlsgqjn17oo2mw86l66EykuTbk3qe9X2awE2dcUHexMX5LGHFdl4Sp5LEOQ8qFmjz/etIul6
Sed+ULnSEnFbX/I5mGr9xqi9Cv67uf5vZK/LVolD+4faZ/3avv5pql0iMf7v/9l26StOrx9HXf/6
qX9tsKD20EuxmeIRN5Zp0h/DLtvFMmupKED+3GGRNP1z2GWizNZRay2S12Vczg/9c/St/kMDTk+r
FVUS/DztP5K78hI/bUJsctSHC0UeTa4DA/LnSg2JYm9LNoKgtVjj/HmepidCGsa/cYX/uo+rlKBU
EjolqY3t2PjlZSRCyZQoVzuwzaz/1quKuwFcGJE912b9NirAfvzwKfxFwf3vunJeER+ySbcGq73m
Lu/oh8rBK+aMDJ/QDiCSIFGtC5UlnFM2hiN2qnJdQIu+czv6m22IM2sAK4P1qZi/lZOhbdXGSw8Q
OI2DhuEvYBIN9YYD57mI5vmk0aM5/837/bXyWO7QUmktznlYfM7yQf3wfsFtZ9Mwlg5rZFW8D+RO
YjvS+P/MK4mWV1hFhsihcZW41buowFuRCjw8ThGR4EAPzc+IjIyHshrbQ8Ss6/P3b0//9+8Jbw/U
h7MAP/hO8n388e05XqOSTTTZQYdW+JzMGut8YlXG2pFDTAAY7AxIpnWFq8kYA1Wh49JGTAt5z+4u
Hk0HmUBUXBivHDWt3oN+vBmJJ4IL3ncu3uOmz14MvAtb1FPiOifF462DmLctpqa+/f21fGnffiy8
llsNNASxiYEeib//fC1uMuM+6wwrwOcdnwincOHXj3q0Hmu0UgNDJgLuDNUKlEoO76U9kOqcF6VH
CkixTBxsT7npxrF9sdExwMsmHrrIFOt51LKNlNbZEYm+BjTZQ4RVItIGu34PGp7BcZS+1Bbu2CS0
nj2rNa5apeNAPF3cKel39WQXe6hs9hWyBQxtSjhjBY8Hkjo5y4Ub+oYUb3QTg25yl1z3wTiLGtzj
Qsaafa0z6qNlN/O5JSo8IpNKV0lsUdk9Ul3x2nU1j+nz7+/l14P7y73kkIkuleqcNqD9y2NWOwW6
PTy8xEQYxaVSs3JTpbhPEfpsHUP7VNJhvHRTMtI7pewsdp3Ih0+7ycWbifzr3ESg12A76s4eMnS+
dlDfM+0pHW0FL6q+JtRM7oC7RcSv1MX07nWDdtcxETnCKlOeNSOLTkjwo2iV14nqT5E6ntyMUVRL
G/xvvjisrL8ulu4XocXgQELJ/vXff3hGa1etMWfzEMis6a/ATXbkKZIZuK9Z1q9JC/Q2DRgOP6SZ
fyOI0zgSCaeiGnTdeqdh6H+wpDV9iCFSv//+c/iL9dXlwEJ3j/+plPY/f6XzaCr63BqsgPEgvmtR
fcb9tDdbOhrO2P/NIekvbgMHMlSlnPFcjSX95xcjasimk9NaAS0051mFdrg8xenl95f0FwviT6/y
y1Oau2liS0OglTeS5EOtZIXZtFRqcEKocn//Wsux7pdvMS4k9mh21MX98cvt4yuZ1jjqraC0DP1o
KMX8PhPtcjKFod7qo2TZLavB49ShquW1V4Zi/fs38Be3lBmF6TkcPC2TX/5yS5XBqpsYY0AO2PZR
w9xBminRlb9/FRgcP18nshYKB4aqLOG6iovr55fRWXJd4ruJVLPEbY03mcpz2qZJfzMW97SlL8hl
V8jd3hf5VRfnuPc1hkTsJ9BojWFaex38hzY2qxtb1sOWRM/Wt8ZbqdegJ6cY1wgHOMTD8b4mZGrJ
65sFwR/NRxolq99fzK/fD3w6oPjZK8nSWuqqX7pbM3FHTWcLJ2jYdlZhBw8X1C5UUZsYxN+/1L/d
NmSGy8an2RQwGjSIn29bPId67nQc2Jzcjg50WZUdcTX9MRJofgwZduDhNO9vXpRS8NenGncU6w3l
Eiurgxvgl49r0FtLL0jLIhpmIDAE3IURucRRh+PwbACXZ3o9ylslSvYiGl4cOrYbZ5j0V9KjNITm
8ZHaBzmc6/jYbq5lXatr6t1F5Vhv8yUPSYbJS6jLl6rXmOMzmUHGLGERIE9vIAL6zjDurQxjNpIn
9Zp5Mh0K4rS8hBOSrwBQ9RN1UjeCoG90OAwLI6Geal3BQE6vxvdCXUFLWNx0TewBRAVoxfOEPm/F
or/PTPcuQpV3me1XAH/vpTrLS0mezrq0rOgZc2p3UZpU3wwp+aPhnH5JZgpfoPSAZ4f3HwlNnr5M
S9T02DGQIAJH9u967omtGSPGhnRnmC9johO9oBb3dd1fC3fbcZ2YtLXvYWKJwAoLTvFKBJvesgh3
b3NLbCz8NUGJdms35hYxQdBArxh9Z9faaIdoudKmxR5msueKTv+QRuaeyeeVG6QE2jpMMlB7HhPU
ABu5U6xDdqlvmSzRCtC8YbwxAQq07yxSO9dtYzD2KLvOzFdzE09HgUDgBhwm0TPJFIwQDMEc7tDU
w27JoWXbCFMzfxrNNbmh3uc0GCegUvd0Wj5SqsvHZBFOGHNZBJ7bPxFodZDFKDeSJsw5pJHw2KSp
QfSEsFx/qquCPyvHDuXNnu8ZzU3hzY9j1LlnKPDmjgwdAa0/Av+fuagFNAU5rBjncavNuXXd4ud/
LyUfWycQ85GpHn0yafG20RzKHUrO+oa2gvZcNnXOkM9AidRWqGFpQF1XVVHfKFlOs2Vkdm1B226m
NXzW6SGP5vbGCKfuodbxaTeKmO5B2NTbulKyK6UG9jKPyHEzCq2rLoUVkqq6utaawuGV7foqnJUu
yIYRlxMQnVfgNWJP5JV1pTPZXMd8ersZyf9N3OVvonemt3S5wkG1lK0I+2s1MrdzdU/LFENUMV2a
cDqHiiO3pOIM+0rLqu9hqMX3YEmRrzKSoQB3Cf5o6MYpTj6vW7wRa2b7uV+NkXXjNEN8lTFUWKv1
BMVjEuWnq8pxo/TmdCjIBr2UlvsRN9ZLqdIq8IFe1KEv9GR8cqRT7cxoUPxpghgaGyO4WhlD3xwI
CehE9CRq+YRcmMZTa2niLa+09jFyMxtBVlNsPWOqgjos9RUnH3kShbDWAqjALiURdSMU8MYWqREr
uqIlRolSOYM3JVAEgOxJZOUtKywTu6IZYDEadsDvirZ0ZU+h7D8MC4hBNSKTSAG/+KVqIMpIYn4D
QqO7HjBl0CPu22TYbC6hrGmUVYp7Z3TTm3St6jYXg32xOlYFnkGg6EbS7/PCup5r1bjpYNcQQ9cx
gIrlsGCF5MBD1cab2BsGWoFkXOtVfXLSJe+BCG24g7TyLGA9Dy3REPy7ej6qKtABq2rkirz7dGOZ
cmKDaKAsa3H6Cn+4O/WRNVzR4MxvrKkazi3paYFSY3qMc+IszOSlQYOxiWxizkyFhOpWFeusB/M8
0n++qjI6R5My6t+NIe38wW0gLHjEqSdZ1FzrSoFMPORoZ2+Mwnw0wsZiDYwYI8dxucbRdCH9pbsl
m/EIQXnVGZD4svQefXfJFdfZjaGO5IZOif6uMoe7rfuUSt8dZtpIUnfQO8zgeOhtXQRErzUA5nnX
jMadFo4rq4QIy7y+J/WxA1pSd4En9Leyb46xZq2JEnorE9Nmktub26G29a1Q1Dt4CmtJ0ti5tPrw
NHRVyphareVzOxfaum6GMgRJrFe9H4eFA81gAmHFMOnYai3YKUBYo8wiiCHSBZ8waKt4MGZ95VRj
Rpqp6FYdZAgo6bI0N7ZnJisEkQfKjmpbpWl2rKBAXCvwsTdLhNQprqr6YNnAXk27uYkzDXx77imv
8Caq11mo2VYLneSRiHQzaEczOTHvN55513Spu8wiAybJtyT5zdvYruNXT1PSQ+OCCHVsdk6hE6lE
8rK368k+W9UM3k9TjiuKXPViXxsWcKbJasgyzNRzDhZs06J/4jsuboT2mcX0EaBmTfLeBeNCcz2u
r8F5T7d2lLnHWuTT0Zmd9KiaEMxMtAtPJQPn5w6w8MrTc+12XGKPSFxnL4z1dGuKNvnmVhaxJ6Zs
Nn3jOs91pKr7JPaqA+wjttt4uoYREq/HzIiu6ey0gcrVngZG7Me2l9YpNDoriMNevdfVOLnJk9bY
Czm4JwwLqOu9NDr3hcuvpNdfNU4KdKhJ7wknU1eJGak7vqJB08k3F2nzpsypF5n1LqsLDF0GqHlN
3T879rSX5qLsFIe6u1hqEhTSLi9DDtg8oiPcrrTaxvzauc7ZQLJw26JpfkeCVjwDBLQgxZuPU4h0
oYIYQ2XQ9lt0ncLz27klAMKkXaqABzm0WWOzhpliYzqKASmHUDpHEc2dYvWmSmGae6hBa+KuG4MM
ZXUygYtrTbWezYIvftgScYUHzDb36B3nPSkRT67ZOtcuP+8zvFBuSi/Nz3PSvNtSByJLhg4VcC6I
lhPd1ZJP4Ujzs3TFIcrm6NrKPHs9Tn22joY43fcG9xkwHSAfA+oJ7agztJSArNUVhVq4EWEx1DQI
wFH3oKwug+Z1l7aV0QNHTBukWp5ogKtLNHmO7MUVPpnw0RGOdlsUrXrW2wEsVhSNZ0R+8l1aiVr4
fRPH90PJm1FU0/owRtX77iZxSfJDkgZ6zM9pAD+YmZcCyC5F34YYJ4M0gNGYXnVPOqcCqa/iR0ZV
BoDwytu6dMp93KT9Rz6MRN6nhlIfo9jtAefWRu07WqI9KCE1SRojuV5XFvt1T/uHwYwdqluT1AW2
yq4J781a6/jwc48yciii7dQYYGVk2Ni13wAT9hOp54+LNOwZUEse0evOWwGpjD55kHZGDN68Sr2r
LM76jZ4pw9rgMET4eahYL1HDFuTUYf5i6x1AIktRkBeSTugPQ+Eh5G1q3jyWIcLH59QI+lppmNY0
ynwZyV2jZBKyvtRAgs5pn94W9vxGoMVTV5jdBkiNfhBRGO26bn7uZp0HegbpPMUZ4ntjJjKyQJHp
LtsNlj6H6lbM+GArOa7Lwm7Wde52J/CB2gY6VLxxQAEeCqZRMKiKcNz3MREZsPzSAk4euythh9Dm
8M5PZXpUxqR+LImX6ML32XRu3UG/F27/qhHBgRjjm5XJ51g3zV0RKcVN06vuTqqls0L665zy3s3a
dQ7Qb12pGkkZFcajq0KtxRrsxrwrcqXTaEXp1EkkM8EpE+2dIrOMoALXgOxf691VViYRFDLbsl7H
oURPxVvorpvQim5yb7wLx8LYESBRvgCfm1GLD6qxo7U0fPRp2N7NhdMgNUW8SnSUsyOpHVmexbb3
jlWvp/mqYUlCguuHpVFveZJdMt5EdeNG6bDrmWe9kJWu+ULDSGtXEcG2kXcgOqKGo07Dxde8BCKY
TOq9Y5XDoyoSNh3X7UnlSCLGpnY1c2ZVQWES2WAnn/xMGeQQ0MG8TwqCRMoYVIXzLJVDNrgpot1I
Xhz0MHFg0moNhO4xQjFjxfIBQDmbPI2dLRGLaI8SszJWGpTzTSlB3Cmjw4HBoWn4gJerIsXbUY+0
KKqtcHWPh7vziPGAqWOG8w0Rf6veQ+5HIPC8GY1WfeUZ1oPJANmTde58rfRqF4zA4CmDyQDbg0hX
zmpMKiCROCI753ETXgTFR2AR4UDARF7BDHBhiTN+PxaR+5D36gHibfU2d1GyVeMmvjNJ1rsDtk18
MJ5LcsVYTmXh2TcYyNVvsZV7t12m62fdUZlfISj+viyF3whmie9QMDcW/zKDWZ8iYaxTxXtw5ra9
dzKCpdZdm3xnYcmv4n4YHwZ1StJ1Aol+ozUSOAsSMq4hznZx5M6nvE2iK22OmpteIIev0trYY4Zp
rxINDlml6NFTUnfhpdaB2hMNqR8H202OBQXbExAsA2glgaNbap66DnAuK3AjRm/X9E7fLl2G5EJn
sH/MTDqDozIVhwoXg+fb1SBvSPNwaKfMYK5K6rWjnbf2x6A1CPbmtExuDL6qN42b4jkB8azre8vh
fBznnCZ3mVjiKzHk5JsmdctdXA7pk5SFeGlSFHSBoTI48KtmVvGyRUP60KGuWOsu/lazUISE/Flw
sHGjQiUGuo+vkCCWgWZV9a4PRe8rhgZdeorFNdtkukHDlBs8JU1ErL07PSpaSSJDouQrN3ctGBkz
4UFN2V5lzgiiynX48vdZt6u5BAWXbF1+8o8oNQdm/yIgzh4BgKc0zDrGyLVu8V8ka0ekVCGhnpkr
eJvyQYN6DmVepb7jPzff8zocg37u9YvWFyAOCX/hJCWU/tUCH/pSWkopglCz2h4FrTkkt2gX2i3k
RopdZZ4g2FdEwfqoqm+5UFroNY4pDlWFsWVTn8CM2sUuMxTVeCzCUH72uKw5WtM5LA+6Wdgm/vjJ
Go7elGBUnkPNAR86oVxfU0krygX4S+seNUIehmC0rOeuGItdPbvGbT4b3i5Rkgb5cV8hNaPCT0nF
nq3aDThnDpcWRydLwTx3I8LwxEN+WKJNbque4taZ3Rp4qpj0E+29UIWSZTGocslAQqDZKPuRuJhz
ZnjyIekJRBwU1faHBv+hVNzxc649QiI5ew+HWamKN0ur+42sCTcC81ex/KsD+kj4I/MTWGf5CfjR
PuNPUN659OalCwdwhG5Ytwe2QpYBPhuzDKYOLcaV5UbTlaxst/bdbs43vQXyk25YxHreI5XFYJaD
HAyr+pIQxXlVqVb6jaMlx0VnaNy3FLMX3XUW7icQCYhsXWM4pm3sIpNFRt4QHmvXL7LxqiXZJ3xm
pMRz1edYS+ykusOt4p5CYUXZRnGNt1ynATVIAoFbk+EJ/cxt2s+HLCNxc55pgfnlrES3ZFvk9yMS
vo2hAg6pY1e7oJIAhJKKTjh+15dyM5Vzu5+KRg9qJRFtUOiVeMK/2u9Stq/HKItCQLsuISVcCTlW
Yk6z14pyKRigkO14VKNj43baNaQZhQTfbBF/j7oSgmId2xCA4DiFcm05Mbvk2M/nFJr988Bp+E23
GndPdzU66v34IbX+Q0jlQeUI4Oek5/w/6s5kOXKkza6vogcQfgMcgwMbLQKImRGcmUFuYJkkEzPg
mIen10F29W/dZepuyUxaaFNmaZVkkhEI92+499yjacgpcHHG7CxCCPzKLvu3RkXRCeYbOeFWlHwP
aFWTzVIl85XJFjdDQWG9cTWBxa+2DMagDfrzZVLad4uTlwRiaf5uhT22n+s/AaDSGXHYEkYf21tH
DDoShCGhtXdYZ84b3ZwJMUZW60Nihd4yh7Tgy5vdNMMKrRl/JZoqYRO6U3c/hfIBIb596VZOAL9W
GCTd1DLRycz+PHT1cmxGrIJ8Ot51vouzQchuBTQm2d7p5gnXQkTcRTMvH27PHC7ae4UF0cgd7/Va
mreWX/2E81humC92R3Zc1ZbpkvnG7eRbGqKdTRrO9lUzphEBLhYUYp5dsKjLJS6L+uw5uLHCrlZf
hJswbisANYeKXlebEGqY9dhhNCgJ0V1VqLyEhn1sKWmjjeKyGjfdxJXcZWJCULFo+0pv/0R7VYSU
90JdEc2UOwAT8lhJEekbTjrjWblAExllpIRrpe6k+9hFjovRPhVhEz8Ygrmgp7XgmZ3evISgPLuU
5xCgRBUREFzNB97xbvQXAUaUXpsnNia4fvBuo2bKt3hxnFM2N8qHp2wwmi3gQHD3nvrUMS8gEB1A
hEl9GxD3nlcnm09xoLZiGkY/GWoUH8S0XQBnoArudG1exbps60r6q0c50xVbA1GkjfSSz6hZuIDz
sPFNmzUaiQDla4Fe+wXgyvKkkd/9xr6+oiVKwiLcWH1tbt0IPWvupORzg8NdjdAYU0yVi+duLmFE
zEAKaYHU0VigSygY3CTYNik262wofRwrHf6tqUj2I7Xknms6he+LvsjXMjuMAy+2IsqtefjgGCXF
wtHs1Nt55Gssm3BJuiNbaHfx5xaw065NZP/UQQw85JT32GAYj4y0XQLvqWeP2mMC+vpaQyc6uXXR
7clVyLHJ2M4dccT1YcyMcufWC6a0oaUHanMnIMRVkVZcPbSFab4SHLspG/GRVA5SZs8mPMuZSAVz
hnrrxEA4SFZ3/G4mGLmHgERiq/6kKpJSajDEp2Ie80vSZi9ljMrayIf4d42o9Vk2lvVCWnJ4BJ64
bAm9fCamC9Vx6IxPYzHqB0AuGUYNy4d8V67OeAJoYDtjai2KfdshNYKJUm0Y6JqXsbT6ve2obte3
f2TInPluo5/1KNf2U1gch7yR+97iMUrj7ndHt/JFrrNvKg0vz4yzd7IRxg1svrJEFUcdX/AWDX0G
CbJlNhTKruIJN6PtYi7xS9f3u4V9rFmXvMfsurZ4Uj6ttljO0Tia93D/GxsWOFKhjcZJWjJ/2iOH
63dVpmtYXDvhboV9X+M02NRdpnDz2MQWp7NU8aZjtazw6Odnl6StRWlbLy2vaPv798Kzv3pXi/YQ
0Y3jXMJb79zcgS3V+FXr3ImlO2iK/q7qIusMl/ee2W/F7qDYYzR9rDRb/xWrZeRooh0WYzExzh/m
MwOw18yzGCvo0mfx4IskYdg3kJRhNsk5wrZELzHlX2YHMDMzm49lie6ARkBPj5IKgoIhomLDbl9w
HWj2Tq2o5sVOjlLMrdpUHnj1TVeyyaL0kGcbMR+5sDTIDqC3TWXa5dY1CPIN13YCWuz0UcLHP2O6
sAKzcmjaV+YRZ26gyygbAlgPvyocLs8ORm0y7SBVN5tRE2STzGl3yOdZ4RGwqvhkawkIMLMw7Pdm
ABz3E+52xsezUQ59r2e8QA4lhRr7MLnU87DN+Nwqn156u7ju7AHUVowymmR+DDUrfK6VSfZN71Xe
Xrri6NlmELm1OOFESlhgDhjQDoNcCEmXIbeiTHmkGkTi6YuWLCkrRwO5388oCTmIybuQvl5jwDw7
Cf2JH2WOMb57Xpo9epG0zSPrbCSAc89+hAVtepfbA+jUDGPeCNluMzvgjfqI+9DRWSFwnnrAWbGd
P6XjkD33RItHPudGucenwExzDEsbHUjiyHdV5v3PuRL2VwbyaSU395D5Permlr7Ox0OS75YFFbBb
z0Z3ILO3xNTBW00zONAthgp1ias1NwbFzTbFzcwKs5Mn6djM8DWJ+7KzOa3yK9p/QD+qxishjm2h
fuL3a/hBx3uY0xusifcmOL827bRnyxjxmRC+FT3aFCQXnrj4PazTmo643oxtpBNAbnw19tQH0SwU
CUV1wnZprjdF6u2HwvvA+fxk19MNueKEAhDGWpAClD1OhI9FbtTtrbKproC8PN9peNCLhGEjVq5V
ZGP0T9zdJTdkxpQszVWxpQ2gU+1wgBITsAzF9zLYud9YZutT9hzLMkaFK0N6Jtz0qEwctlLKa8dn
Dwfca9SrZTMlJkPq3K6vKQIGwkguZFkR7DRJIzDcmCFFS5bQjX6h0Leo0moyx0j+GnDbfCRGSsZ1
Q4zheelanXw5O0spfBPWwnXHpVv0EUceZjzmBXMaeYdZB/qt0+oIzp+iuup5aT/Xo2dQaDE/TXSN
5Yidvrdgg/fzwInLbHW6JJXdEDw2LbdZ0rUVPqssJhsOD8u90xS3cTTMx2gxwmjXdub8ofSEGG6q
44vldc4NkDfpzjVrPUoisFdVOnv6Zco1vd5IycuAHowkAEDR4b3JaOiT3pQuZElDfPSETvkdrx+v
pBZLsA62kb/SwkFNaZp9Ngt/LAz9bHka+4J2yF6Lrj40vRqxpIxvHZlgvILRKwvkvTJcecjZJW37
pWlxN81NjH3eZsadavdmxEqRcyV57cjAQzGi6EwGHjSUonrzu1ySq6qxSVvJvJeiCcrVuueQa+dj
Bc38xU2YwMdqGwucNC1Km36DyTfaeXMh6PFRwziBZSe/RC9shahRjYeC/vOGZZfZqmPVQBpE/VVm
zGODSfCAjKSVJZui9obn3Mbv7ddGRwYe2BeGa4u8g25evIoJZPG+Z1iHXwsTMj+XRMRbOtFjXGdX
uA1UFlCrwZbXrBxEkRNx40EqbPS+gpBWjMvTgocKphYhr4GIXXFwgToRN171rBMANd9STsXPxWgg
ZCCueXYI82FOPKnkbOMgVTRwpBwC09oMIqSRq4R2zhOhaJmIxTw2YrCI1rTH7DpSx5yGOYzgq7eK
fPQ4nlYTWF7xYYdZQDRux0vua6J/w+ga038s7jZxBrLEXCOlrBNHRyquwTG293ZLBbWhKRUXOrhq
EzdsFYegrpfHUn21aaJ9Y9/U/Eb22l22VrzjIpIn9HrV1STLHZl0nj6ky+Ic+CiZQNjc5c2Khdy6
nmYH7rCU9HsrjWFpcchm1eTju+XcKkV2h84J3r1cTbphPZ45cTGkUcvtek7pvYMKezODQWAzVofG
j5xxwylkCxRAoI4DUJPOU794yYVEQ/uTNGgJVGMhHZCYxskMesvWNjHJin4e92PADMkM9NjoNyrT
uluTxPazwfP5GCuDRykyyWa3lurJRqq1QWGO08w2W1TZHa7XaLCOeq1nTFOyOQnczC6ek0Jl+751
uh91yFlX4SJK92OJsm0z6ym/caH1MfnF5Wowj2TXkgAZfwIVEO821rv7WbR1wDpRg3jmEsaamrbv
SijrQsfmZmd5tTLK53OskcHHKT7w7oxV7f7URu0dbNh3NEjzAuLmgQeKaT3TJKzuXfoQY2nvgz5t
1s4BNPp09RZW13s8TG2/rzg8Yz9u2uHAY11TPoLr34yFGx9BxUavstYhE3MRDXpQeTn8AY1XFsnA
AlthMMKDLYvmU0QAwZm5h9Ls7mtss8dSnyAHZtrQkAeDDXATd0n4GDEseubpSn5kpTJuBNPkgSPb
aBtpdrQLq3C5d8oq92vZ01+GM7EqXW7oN1SX3Wu2CAZTblEzDl8M9xg3oibr3Ym+vWhxAxXCZ/Cc
ZX6uPeIES9zZpICY+daRDZHRk47FbtHx4HaZ8adL7v3JLOszoYd5ICKynOw5Mo5a55EFwB0CVz13
saZjl74yaOmOC+E5P7Moct7MlkK7pEk6tFrcMoeVoOyTNNkZnbPNxdR/afhFjskoQmMjxejkfgw1
P1zG6YEnMl85Mc175Qzpp+mteQ64Bp+JvRtw8NHvKLJr1apgwFgOLmFK+W/GlORlJvO+91luuBPR
KV37bExFe7WyqravulsOJ1h0Jdolbezhw2BCrRNMrd2S6Q+zCeeCHqIwDgSW5FvldGhUDMVUDwLk
SziY4hor8HXCkAxtcjHyeeajp6KWJaa75K9xUyAh0ZBQLW110SrtVZbat4m086VQWv1EBG64g8mS
rFUt8n8rSd50UkOJqo7kizllw5NGymSQpo/gVvKdsNL+llVO+2Ab5nTTIGNvU4QoZ7NKXB8PTX/j
WLlh4jUvs7bWB2ORXbGdinOZt/o+j+LiAUIOsav2kH0NQ0iOyShA8BdDQquiczogsDrQGyaRXyvR
xeSTWfYxl229H8gteC8wIOGcnBfxWZA5wd5C6domp04+p4kdBSVuMZw9EEtaCBB+pHrhY/RBGlH2
ZMaYkToWymHu43T7xpT9SY1h5WOBNG62lxOX7PJT4WhKCuORYWtyHpbO3DGzTfmuctpVSs+OUZ+b
D0rW7bbAmhZgmXbPvcFIIy1/Y/nYORN3Rg4lZU8ZDfVkNq16Qyim7mNxKQ+EotOwutE7iQRfqJS+
XaatGK/kLgmN3SSRqNW4ePeqrr4zJ6s2nrPmdTT5psBYq7LZCuJiIEwHjI2s3nDoYkZZJBB+FkOa
MevsjeMtH1kfbAfZ16Qp54N6nlvjgGLIl/oQH2ZoIfj+ExQIbIW6zTixyHIJgFFFq28ioR0WvT7l
pnXo0/nOqpl+z4bDRohveWjdKd1ZXYQeWS0JzWTfpx8kkjQ7TUbpxZVJ9izYf73YJR3jaqveOJCG
9v99qXTqRlb3Wwlx+qcWx9aFFljfLW6U7cs2aV//KOb+b9sx99/VaqNo//g8Pyt+0iSKu3+xff7z
j/Bp//p3V/fFv/vD9o+L47H/buan77bP+dLPPyT69W/+7/7Pv/wc/4XR0jDt1UPwHzPPDj+b+Wf5
76yWf33NXz4Q+Q8ScXRdShvrpPUHqf8vPhBpgUMzAaIhLURfCHHsnz4QYPtUFQ72YWTdwIBXRP+/
+kDkP3CVgOhffbZ/4P3/+sv/ZY/4z7i+HGl/k4ZSOmGTwKIM8czF0/k3gX9mCOLVs7hkpKu598gS
R7krGPTtSuIwbhFn4LvtqvxYMn/PNt5KsLUnJAA6UuhDA0XkmCKaeQbOi7CF8B7vrepd8ybGUl6X
RbdeEzCdFw4dk7Gvmf6qEs28ol+ajiX/PTgFUkiMeEgL10LT+sqmRfSbtmZZhCFTvNCuoi0ARlT+
poEWl8Z18hdEFGvshy5OXF/GQ1ubEAtnTPZdjJQ+Um60oVxM38iHZ4RM2O2bruL0Ar4E63OnM26k
amBK6W3JkHZBenT45iTaRjtzhW8C+TlWuQuoI7Jr+gRWk1e2UuU+aZHuWVOWB2bdZ1vTnahqOmbb
w5R2155Re+CF0NJj1D6sM/Q7y7LUhYWJdppy3aI5WEOjqEx3Ax3u89Dp3YWxyLJNpVNea2G1pNy2
kEPaenjKy7g7oqqj+8xRrmS9fQ1R0V+deiIsd+q9d4Omj3xgbrVICmuriTq7z3OzOdgZgyRwHjOY
hG75yWSXWWCSql1F0ijV9nqkLyDpIbLZpwbi5muYqd9kqUIDKjtCXPypyMZ3vZuit27lYc5Y4l48
Api+kbNzxljuAlsx+cNZnFmLJ0dH75FLJWyF1okQ5DTrD7rRXeT0kZLIZe2y0EoeShd1UcI27+wR
q75tFIrywGKLkARg57yAwPWZKYlmai6Mo5yxqeqX8o7xavHbWIGT4WAI1leVYR8a5mp3yKs0qHt2
/czSKA+sGkEL88ff85SWj0sMekSbHPOS5VEUFFrZ/SBQJ9pCwe1/yCFN3ioCrIO21p6Ek6pzOozi
N1t5e1PoqZg2aV/3FcyseXoUIv2KY/fDhgB8Uc2Ch2mS4Rlxph30Y2lHmy6tUA6ScN5D7kKcchlQ
xz/FFRrBZGnn04TR9R7V0R45I2mBpUFDIaPhbqhF+bMhdOUws006RJB775oZsLENIB9OcQhCuWUy
bi6m8wjxt7ofu3HmSnWmE8Zh+z02G8fdZsug3dCkJG+RyrNjmY3jB8tf/SdkFIQUMSKEqnXd82jW
bZB47Ncc+zGZjPoJelBB7lo+/EzNun6zJzPeN1VvvqtBReT8DubMnRqy6KmYjF6swkxidOG1ukYt
7vKNZUKZQXvHOkg26t6ekvYhcZX6EbLzArlf6P0BqweNhU4LsCPRDeOAPkO0KyzjCWmDEaEiL8x7
YdrToZtipjOAcODQDMIY33BsyRPSrpkRoVZdGHzWG6dLxX2yuO1FlWQgduCbT+0gUb64MkW/5Sjl
XDIWnEBh8s74DgEwfLvO3H3jv64vlHATgY8FMwLfFkO+HcoSiWjZtg1zLEcfXyHClvXeYDGT+6Xd
Z5IkI7TeJPPRW4RmSqy16dVx0JcASEUp+22Vc7H2hOCVQSVBYQTKKl139XOqbYdtOdkt+IKvIB/Z
naC/Md9hu2OADidnLoPMRrYAnSLSwEfmI91Qk8CrZAE2xnckV1U3goKjwmei0hOUNJRfjHadiR1K
JD4sxk82QY1t/D6h7bBQp2ZIZCS9FaLhHNHMOxsGonxiJBivBoHX6FKN8VbrYilPiQdFlkllNR/B
s9nlvitck8gvL9F+RRVqSxSmSt56xGLwznOXiZFCKWxW83pokyXAwTghafK1rpx2vRjmfu8KfSJU
UHjauxNPUD/oY/HSz0Y7TRcHdbR+SGjW2XAwfL6OOWreLdYqPGRo2MliajWAlfu5dBkEjsKunmnH
qdtHhkpIYsOm/aU3C7u3ngFHfGY/K7pnRfLDWTZLsSP4DtyV7OMID1RdzM96lKnUt0QGL6mJYPQW
8MtYWfWjRWJWy9CNIFGHHShQ6QxquZEikzLRiokcce+c5s7RMDpagRayy+9Gc8ofDLFbyv52zn30
12O0yaY6f0oyGf7oR6+95J71GxFKg/LDe4LWBjZzsSNLbqa8cna9Xngn6GPTx4xymsFPPzgfVq+j
noyKbD7qTkRznmA82EfGIJ9CtivuQ5SFrFNnqzAYqSLP23kpUsptI9nIZ7nXWSwcZwdeEofvK7uB
6dyGc/SmWwk73z63WgS+Osak0WnGb/YzPUaNcQLikmDhAElgX7RsaOWmQ3XbbLqit4+alvO5b/gg
3JSdOy9z52Qg2yQK/8IoeQArXCHzfgnDYR8ig3/tYZVessImcDDT9DTZlk6Z3hjW8DNLYqBPjsWi
O1gWmg5Aa157wv9V/3CdtLCOiSSSyg9lQTIHzVXe+o3eonQHgPWumTkbVHhg/ID2EOVftTZgXZ3q
dLmW2sAnpsOA9YNCuz9zhho/daObf4y66x7zckWrhXJJOXtLwk5GvjVrgmrqIUqly2M7mAySELkx
xLRt7b1mu3cWs6u/FmXHpUcC3z5MSu8tWiZ2xsrLHy1zitpgnOwhiKFqXQhAgzlVhbyyHLrdfRpa
zB89djtvw2DNCMOhsn1oWaWOHvHqJH2byny2E+R2G05F7RdqyBmNL2M/BI5oZS1EEi6lgtd3+c+E
FYnaa8OAziOFnpRt0qRq6n1KF3friqZ/rkq9/JYx3f8PrCOMiZp5lE8poLBodYfwSq6paOxUq+zB
iw3GXF3oiNa30EGfw64w0bhhPR+7mKVB645h0IxJYKRL/ov3agL1OLnqbWw7boGBGb9lGcsT7Mp1
P2VWIKiieu2VMzxxj5rMRIS7T9PfVMo+2l96S94NrFBZyDCQwiSaNF5/J0Gjztusd6IuCGO7Y/Wc
8a+PUrRIcLM4vIXOlEO9gDm3SXJeVRRW6q2HYPjYQQ9DvZDwvqcQgh4MKE+XZVqRErprtU+9AXJr
dBkHMOMDTuQ0hssnHvw2utrZuUPlRRibxQ3Hk0Fs7EFLe2NnVEbPenrIkm266B0VrUFYJPyv9J4M
ImYVkVuKn4tBH6ghnyDzzWn1q9NMvCJentUEgE+8QspSycFgw/4zS3Lzk4QOfqzIS7s3j305r288
x4G0ZPRJCHJ+cPLee0tYZezjBfBwq3XimsEAueQzIZYBjptln46pfeCmZYZWOEbBiDbVZ9IL0ta7
C5E6nyerY6q2CNmhzEri9oOFPHr4vGzN37nyiu+wT82THWrRL5YoEJkiAgPvBGGKsWvqx5kB/bz5
f9IO/odZLzR1/2wH/8f/T00jISn/KZvnkBQ/P+Of+X97aH5+fbfxv+UI0AiuX/xX9+j9Q9ehLMPb
EXja/4Cx/+oebfpK2kkObCR/EHfo7P6iCJjmP4TNSEiXmPyFoI/8Z/dIY2lK6bieyeMq//yv/4P2
kYjvv7WP2NRAEZDmtVL8sbH/zaomsL1Qwnfunvhf8u5ky96r9UBfKm2uP3kiOa702Hsba9vdO9oI
RdkKu0COaXgUTo29ASfDgUtHBJXo7vvCK/ZW0aUfeZPJXYWrR7DDy+rPumNx7bU4OvJxjq4au7Qn
14u1XUVeMLnNtGFfGDTRm8WtfFKanYzbWFfWZ5gTAr1hThXvBq3YzV5/SVIrP2OrNSjcne5Yk1sL
jdiiOin1XaK8e71P6oNCOH9zotr7yjQUI1TQc4hVIux3Zond0s/TfPqKEiv86O2wPy1tyqLZmUiH
bqv4gNtz3s9CJ5RkqlkNivzCmtm9N3PYsbNIK7xdUHXruV9FZRblUN8uDyMaf1brU4znzXTmfZiX
qNGWMFGvw1JV30mdOBfUIyZuhv5laXXvB2sC98GUyI82wh4SXtUKzJ2bVOy4kVhjlAzjlotlLtJh
D4ht8rtKZLe2n3WojGADykx8IljHJoaS/C6JmdYl0m2fczYeRxOrL47sRbc3USaTX7GctB8ijNwz
pE3rLnLb8JeaOESJXbe13wNzvktBSXOruJkuvOH8nkgHN2FdstLUrevIOKAMJD4gf+bi34a6+xtw
ThlQx/XwtoehONWZysmsNj8RXeCSY8gMsswEnMkDb/FCaSXRBAKyzhJ6Qez2+m2IAKmAhqwPns0A
VfWZsbbd7UEJFMQje5e9GwlJJ8cGeGBQrMisMVOW/uGbS4kd2Gz/Xiw9J2y35RbrSK9+n+jBDr1A
NDdYsrhPcgBLfuPG44aBIiNptAqBDNvtmEkRMMJutngnvknRCancSmVfDWNIj33tbnjT8Ud2enE3
Vov3ZSsrep0Ggy35aBZv8yTykwu2Enl/WXP5T15NxwsiYFS6eGS6oZfsFDRrzYhoio3FovGrtdp7
z2o038BItQN1I66LORe7dHSmKxV3z1Jd8NQmupe/5tCo6mBy1jzigtfMSw3Em03Zfyxsb86a66qn
NSz6vCTK3c2jTqL9lH7V1kokYtGnZinfIObiriooihuW43Yzk5xsZ4z1KYxe8Yt4Vzi+S+fb2rBs
9XCkva0J6r52lR49mAuj0S4GfMWnbKGZLcdG37cm4XF2qDMxn1O0jYVdfrok7HqskrT6oNmNtUNN
6m4RnT0sffXZGtPJzcLU1/QxEMi0dw3erWIw1cGtwSJj6H2BUBxERilw56dO5hMM9F/5gs31VPt3
vnFOTt3inDbQfXAI/w0XFoKrHquW44BmAmAUi6Y1ml2xeudxLBVZbdW6IRZbsy1v+ZSTr1HVDT6P
xUjMTRSWpKAvw/g7LOI+IIc9P3uMygltFVp2V0VmeasgJexaiXlyCzXZKrZd1yDapkLMnrw/n+fs
z2fbjFvTOpLibAH0W8+F0SYSGJ+tiZi0t7Ts49/MNv8XfBVp/d2ybpiAy7h5ACFYDpfP3078WesY
JGaRvjfs6JmVLprnzHxGEfuhWzpAKQJn0SFE9Z1segmomvd45w4T29O6wXCy0SK7MUjKhg5NuxtO
lLD2GDRpPnxTKUYvcTHNR1mPB4vKD+h2Pfmibz7ctttVMRWvXbYnkQuX1VnyWddTRUKwUTxMiKuO
DExrxMN5f/KMNj6Juigsv81QhWHlMo/l0JiOr2d6t+V1FH4IOT8YnIFthTcVD70cvY/KzcqPedCH
HTup8pcozP5qR3N9zaMGD+K4ypa6Ud4qWO5HpzDDh7lIhif+KHfN0ic3FHjxCdHfEnhe524XhHv7
EdHFvnLw7Ap3nI9YbDAYoM4M0Q+J6Jk9VjpsxiVqfX7skQFkFu8yQi/2zWiDr+KShVSe9R13UE+7
14bNWydsI4hMT71R4ntBTYvzm2RNIpa6LDv3eKeRPtnpmaZtTetFhPqmYSu/9xZXezbbURzYlKG/
WVy9+kY2Pb05WuW82bIqH+Kwbh5Y2Q4nHfPfAfBufBfWenNgcnksGjfohtgNZNV0fu2umhbZGwzI
xnF8nNYN1DCWPery3Ej2MaFVvCM9kpe5bp57TNo+QwcK3coQoEDM8KUiRB3aFeuzLh3h5S72iB0b
E84HC6rxspiiu1uaLsbj0E7nMnKdu8LNzB2Fc3In7ZlOtZGuiaIsnbGbsJf19WbAIcqq6Z45AmYS
htr1fjIiJJ7FmhBmmTigcLdtvWHJHvoxri7OtKxSjpJmLDLVaXKk9xivpwjSDcoVedRYUTYog2YR
P+c0FfWYFzg+ZvSJrItSpPd+yjXhzxxV7XpmRQ6nV7ieY2ZkxI/Fomm/cdeVn8N61uUNG/CxERtr
SLpN2eb2fvlzMPZ/DklOCivo15OzWc9QVHecM8gbFg6CWO98PAfedV5P3mk9gxthTadyrDhzFX7q
WxkOLkkDMye6UdVPg6yr84IM58NmuBVUuZQ0543YFX8uhnS9I+R6Wxg5TlusVdwhdZQl8A4YECU+
bnWuIN1TjMg9be6YHRq1fJn1yr5H8m6FwbTea8zMTNTbmEjsPaEhzUkblNq16z3ZN+kSpH9u0FJF
7q9RsfBnZ993iJ9Fos5kWwycoV1RH6owG/dhDAgEM9t6pS96yxs7ay0aBjsZdqQ3yGaztLxF8k/V
MK8FhEYlsawlBQAJiovMGVN0mtIO4rXu0CkfQy+ufaeIu5IRj+tuQ62fzkVuqABv6XQM7bJAEIiU
U1H6gM8r0mPa9wLZiBtbgTF4CD+nCi8BnV52sUWbHk2M7Zc0KsSPuHKsKwkb7lM5k9kJriBud4za
ve96UeJhYqb3OeT98JC0c/Kq9Wn3HDJMaoNI7+Wxi2It0LBdAP5mXEOz6Y3w9YjRuDqa2R8arc5Q
RPGlnBvCadiZC/uhIDjkpJBVX7t+WCG/o2x+Tc1w05l/Bp6rrYMtU7d3Regae5cu+kVG/OIpXcMR
iySahBjt/QvpIISAqNbG2plZ2gMpbeYRq6z1XKSV84Cj2/bhQ/N8FEn1opDoJJtKb/KjqSVpFxTY
EMtNPLgpF6/qyQOf0vbiqDLaOsPoHSgs9V+Tt/SfGCMUr/GCpJmClLyDET6lvoFXiXwoMngZZybY
+yzlFffzyUkQ7ynmTY2rnbx6QLyUTtMplQzgkEQ1HsZkJEdJpOnvBnCBBTnmCy7OwseTlu9hNCen
GAX4xIvmOo9Y/bKPlNSLYNF1GxZ0U3S/ImZJH6TwtVtdWjnUhSzc81d+6eigtvxE9raDv3QWyuPh
12SXc5XryaNW4wkvzXzVvrARaKFoO9ZDwq8RAov2bQe8ZKVQvabLty40Zp9dBRqSM9HUAqWn1c5N
uhoTvtBvVUvU5DC3/cU2GX9EBtPkEU0OXywX5Koxsh7MeTU2DpedCT0AKF3n5OnW72L0fmHAMzE7
k9oAeaMqjxLGA5/2kaK8TOvoicn/vOfkobAG2P+WToQwZFXxZlhK3Kza6A9Dn6sfo22nP8JWb74z
Pu+Bh+rjMHSA0Tz9zXRyZ0Xf287RtqoLIKD7lAk2RT9ZoP00OdsMmCdUrzxuK/JJJmz6CFIdQFSM
Qo6u03Hvhpl9YqZnHpZOpVujsed3DA1EBZBLcZ5GDZlS7ISfokmsfeS4eOgkxH3I1uVEoTz1Cykp
Fs7CONx7Vq3tHAPrTtIUyVnNsMbPUIKqJ0cbxAtBPS2cMqBo30PGItA3s9a9K7FSmZshMtPnUo0s
JpYRNwBJncVOppZi5cEqx0sVHn8ttB2sUwAT+K5D8jNPgKGEUjUnkYDYSN2W333Iw+PYu+m5NMbO
d/lFZwAjWo61cE0Dctr4UGJ23Y5e3u5VuEw0Tqa5gd46HydcDvvE5t8nHFjeCirBZBsus3fBtDfv
bGVWO9Po5UdcJ8ZeDAk65P9J3nnsWG6sW/pVLnrQsxCCLkjioifbcpvM3LnTVdaEyDJJ7z2fvj+W
pFapVEfCARoXbSbnAJKqtiODEf9a61uOoAA1Syfu2nqSkAXyMG4BezeHOG1eUeduZlu+L9L5FtuR
9tb2wr5DseXxWD42GDsYyYVtc9WDesr2QxTNX2I0pRW+l+cMVOlagPPYkIDVNmSyh70jq2Y1gZ7Y
S5pFNhES5nMbkIrCdsRSXNV9zZLUt5sAy+F9afuZDpHD5fpOc6d9ZDwxP6qyw7qcSKdba7Z1lkmI
bljwmS9pXug3MUf2lfADdYOEpN93Q9TiV2xrJ9+7tisegCYZF0PLh3eoBX6z+AzLkShLMIfqTqjJ
9OooYVsk8puM6Z4pK6ICDRZbItbxXkVdxSqic8YYG7HJrC+Q1tKY2EKOFiKmNF8PgMg3JZokFqz5
lg3hqdX7W0t2H5zkYzFfAd4w3meiV+V6/B5bwW2SZKQT4K/d25ZfvXJ98fBCWLobZhsuRpiXH2Tf
oweA/Kf+RvCc3cNT7l5nqxmeVOYar9iwrBeFkLRuZWMeGsbkR54E4Vml5JicELxI56fZNhewL+I4
OLR1zHjRjoikjF14j5KrrpP0p48WY+EVMI/sUM8mYcGYOJ2dJ1bqOU5tzTxP7fEDYz+1ZiyrGXju
AOoHppXBSqfB1mS8i4BM0BekGTxBUVCHkNomppgi9szC4iAbspOdUuyrfaSNHntIQksmnYQMmA3p
X6hIKw9mtVjh087cJroWPmEuj/a93lprhryV55i16+Eeo/aM5BTZ9CV1wHvQN1VArUYPf+EDGP5F
QR0BuuVRdg1yFlEstGLe9csD11EhYpyWPKViKo+JiS0voQ6LGhvI0GQyOfPjvXh0GQRv566EmsCa
gW98SsutFZERWrepGNQaah13YJJLFuwZg/1addxZvJVi3boZf6JvM/oEiCs/TzlRLoHY/bkMcsML
E1YIWHfNpmnVxK0SZV6uM+Vuc+oZNCeJYcIVrGbDUA245q3NBIbyRAWUf5OjW5Dz+WQxmIkTeQiW
Op/QPxEQT1Z6MhrbrgiZ4jsUoNiD3KbWPB2Z8IFAqd0r5/K17pJ+TPQMmIYSfnYTJrSgZUNv4xcV
8zYarZBjEsbQVU1fxCl0LJuvwNcOQ11oX1BwidPpTf4e+sO4guIWHRxjEiB2fAKpho9KnucxLWpp
kbwCB8H6VCW6fzVF797kbLQvnFXaE70+3UFOiskSuq7xHAuzXy9laa+Ul5PppDbvFIuFxmKXsVci
vXjSiNK92dfVOafu2GsiqsRGtpJjjNtZN90ZUTTW9txhxlPLce3Sijgks2DX2yhj9hFif9BkgA97
gYTo1nFsPMoPsEDlLgHGbo1w6Fz1vHcZkNvxs5KpeaiSND3bUeNgXRXWwR/iS2Cooft1uv2rk+gn
Z2H9Z0dhizZD1GJJgtr9AVUHiUf3fZq89wIi3tYyY+JnQQ+SprKwdAMK4PxrpGPwGKg8J9CAvFRs
wrAU93hppk8Y5sp6m5pWuCVNPaMtLPNKZjqg86ngI7yvhTidoUQtE06pOvyszsiAcCIZegTDYELy
4oQofiWs/X9s4jIYoQN3+9cmroeIaUH2/RT+tz/y6xTecX5xdQxZpqUYdQMRxY716xSefyMXUr0k
BYGRn3/+2wyeEltN5x+4BiN6C4gbnLo/HFwL/l1C48Nag7vr30Lla392cCnMNHjILMbwrLkoW9YP
Axkfy00+sBR5Jr1pR1Y1oPJFdEPkuzyCY7NXZDXLjblszNgSjk/RkARHliRKuGQbbjSXvUym987n
mFzZxm9L+5pn3XgoRMks1x7Df7htlrvij+HZX9/vDwA/C15mGxGZ99woHbzJXNze2MNWKvc3suSY
pleuvKHFxt9/95P+5H41fiDA/vWllxv6e5CnMrOyLo3JiwIyLvPYxjzOK2fHkKmAQiLgx7jA7TqN
KWtCGG7sa5bLys027EboRC+t2ptm0jjFomSQICMdW4d3aDcUkJd8e8oY71LDD278lilcZJNNgikg
vWaOFobTtk6jpySWFmegSlC/Czyk/8A5e+IZS1Yd7GnGaATh/aE3ZEBPo+2sknSMtmmpZ8fMlcUN
jWXRTZ3Pw2vYDe1GE2VxjrSUIGs2V7u6hAyUf576UKJ6B3u6DFlA3LAHXKPJJ3MoxoPd58M+NVIa
tMYg2sV29zmu3YYcXKF3H1BU5T4kRbujqnuZmBNnqkMLi7MeP1nKh+o63FeY/g7NsBlS8cFscvfU
pnGGT8J9aWZdME4rT/Vkys0UKv1MzgtMHoolpn5j40wxdUY4hI2BKX/v2G9thom9HxbcLfRlo/cp
/umnO+purB3x1HbbSd9YC2YLx7Ifxx02NH3jp9EtZnhjN9aSoqXikYK1IxtoHxZhuelLSd45IPRT
HRWUQtwcstrFiTluymDxqc16j3QKPUofSNzk45Rg7ZEFVcwMKgGOtAerVvLjgOl3qwJEcchh7eSF
WQRS3wUPDeiG9OPJn1ziLI7e76gPfRx70YPUHNvNmIEpKlW3C4DkeDIUjxS9AAKs6b6rXX4TCFfh
nUuKYkt+Iz2Tr92So9JwpimfUlEl920U+gf8g87a0YtwWxU0asFGtXBqldGmH435UYwVYgk1X0Xf
r/swO1CaYGzo7E63UcvVPMIC2Q0lclznuOQPkm46DYRh12PUwgzpMzg4+WObtGzUdGtfIVW4ofMo
wVs0quO4kPJdWoNprShN9ZRBmi+pCAjmNvWkzGCZF3XseFx/xfjB8khp2Iu+t1fWc543xCmNyaEC
qcQvmXYxpypcfX4KuCyv6lVlO/G+Socrqps8iQDajxrGAVs1T+qCnetpKsrkATOm2KA/7MfBfEgK
a9yAJKQbbwrp7+riW+WMOqcUJJi2AEHUxnLcTELfi6HeWxy8t6YKrp0OJd/K3FNgJYcqc66Rg9hU
TeNjO0Y0bDLiasPbHgcDctW8Gah9HJvnOa3u7EojZy27K89t5wmHJREG293mskPaR5JSQX1TJ/pm
yvLHRtTkvYEBh9lnqeVb4FfJBvtMv650IiRM6m+hCIdAFPFOxtV9NLhHUWt3WNCPMfmeG3hCAozw
NNm7wCfmQQq1aD5hBLb43nP5MDakLRh+XwXBu51PZwP3dj9+7nEJUo9bY69Az3ffwpT+KcnHOowz
Qx0GMiaaQMeAzyfXsuO0gl8eCuJ6pMfUq8uI0uAER0/ZQdyss8S6d3ziY2mfAFCQVefBsw6PBuvi
hgDxE9Wz+prVbzhNEgZl7TosFi07FVBlcj+EWkNpFxhLhha2PGO1kwe36uprRZHBZQBX7UUFYhz7
Mv7DuAjX/WyE7NBreVZgb8ppOtY67DRLJY+gBdpjgqmSS9B87qYZnHYJSZRjMLYknf2+wEZ2q6OH
knQhqd6aKZvqmoLwOJlnJOMmOgQ2vAM6QyQD2yja4sj3Wewa60OWi6PtQ4lb0sTZ7MReDiaInjQ1
e/Vgc7bSinc7IKfGqXpvKUNfiz5JvMaNXoGgmVuTyA6DsZytmi92jEMGcihhvyVFpZF8ICQ919b1
H55j+l+foFDCeO6TvzPolfph3+kUJCXAb2oed7BdEsDTBRCVhuLbZbCLEiE2WHOTh3YuWy/JMdj5
y90Vggo5ydgHzjDA3oKs/EFFcX2fDLR9JGHNyodult9CRoFSpEma2vs0oPG9zT0dENm2Zj6xaXJ5
rCu29nZJHQlVJyvRNsU6q7N73oeg1Dp9+/vPyybqxw3Dnz7uD2obYj0EksTS0AMb/4pD01hPk9Ns
MkfMv259/+WW/s92hm8bBHj3ElMF/8NIcPn3320QtIHDFfBsDZHZfm9tRnyTZX40nCHf1Fb54e8/
1w8y4l9fbeEPf/dqAnpDPyKUewy1kTct48VAEDzEQ/BFi+igqVTSXsAxh0en1WevFYT09KQkDIxh
6saNOy/ml9w0XJoprvBd3HTtEeABRZtjl2EC4idMLJpSUFasjT4h7VABRm9rgss1HUFF6AWDBbK/
tOPwoK6WR7bJs/vvP+fPfj/HQo8C/I4Q82PXhCbMUBMJaZjCLe7BlYEoxdTQkSf8hxfSljqJH7aW
DPf/eKUftsJJO+YhHdSG1wcdZinfxa5OYQo5gmKdJ+qT0hdaDGYWoqzsFEpU3H+gN/8ZGf3tJ2XH
T3mirTsO19By6373kyYZ+orgOeKpysLUDCVvnRl6wtZNiUvUC5o5uypN/uGy/dkH/9PL/rCn1lv0
RyrGDU+Y1tJ/bX2xE2QNEvDJKqqlOObTeOuLpr7Qmlhs7YES27//kX/6Fvjqaf4i5uCYPx6GUwmT
uswi5MKILH3DI5Hx5g3EBLKqwFUhSAJ9dST7TUN9ZNWvdn//Bn5y67rfv/4Pq8TiuS3oOAJenHYf
jSYaaV/yjWNWKW5iEZz//tX+fPT/9XfG+23xG9PXwv//+XcOh0jUbQHhhMhrfNaGhIKOxm+3f/8q
P7lz+D7/eJUfPlNjSAO8fwH/jzpzYAOFtoKfiiChyn/4+X72SstHkdTOcFr9y8JXul1OJFl6s489
kdjzS6rcA/ftP3yin14m37/QD2se54+u9dPa5O4s7a/RgFFWByhFCppZ49QZD0nQLlDfZXtMGQtH
gbIt/6l05a9HZpNAFilhGr5cWnB+WCf8cITjFfmGx+iw9Oah7h9LvG1wX0bDK43xicwvqM8+oJis
p3uKlAU5viqVmB3EmyBvRxnwAgVmd5GfkiB7UbWRXqAFPse1Kv7hwGz89WIDLudaLjbM5R1bP1wG
1IcmQEhq3lrQnfKJMZAWymhfzCnQMjHfjK4at2UHnwaCL8amCOeXwXYkoq9mwxiReEPGo6PuczJY
hAHJqWxwyHPQIb244hDxXpZDQF47YwtnmCfN7olcZUzo+slhdCxQFMq5YG9VLlVd6Vc9khrleFW2
lqo3z03T/LrF+d89gvp/zzhK9RNr978eVB3fIAj+x39/y8r//I/TW8N5s/5+agWeZfnzv3lH1S+2
gzkUIU4zTQt75u9TKyoeiRBalODIXwdaLF+/e0etXzQaS5ll4RN1qYjkYvttbmXov7Dx1TUGWoTu
lcLs+W94R81v5SR/PK0FJnccztK2lsv9u2dkrtPw0+F23MPlInAtsIoR94Gqj7mlvy3NRBVbF74B
qFRB8+Oqo+JwS0ykOk1j7x+KIKh2HPioOVy6U+U02hx5u9FLsaHT4+xjpCpFoBW7ztL6DYomERLf
aADMttMhY1JHP3c4vYyLLGfjptg2lQw9LOzVndbpyUtQ+7hWYQ/sKWEAcgC4+URxnHtg6IJatgiA
9M7WR3w/tPFobvTmLEKhHZGD2/jf9MNmkRKdRVRMFnmRNQQm/DfNcVjkx+KbEmnzJD1DECMXReKp
/Rp8Uy2xz+mP7SJltlMVTaeq6qPTBGSUgoVR7Hz6FvYTOqgJQmKtHLLPK2JtaMWJngxrhn4mXCVk
VFBVPSkLpFUAv8CQm3x+Jd0RbzG6GJ62iLGJHU4Ar0ivnpqgYcZCveEi33YZvGGNaOZNXpvdKtRT
DuRi8E9WbJefTIJm+HNKQVcg5Jb4m1i8yMZFnCcvGHLKl4BCRE8u8rKNdg1QyAqJGS0yNOBmDukl
9v/PndH5y5lS6Xv02kQyemiswyB6kjI6GI1HIZg+3symjat37lJKD7R59lICoou4JuoT/d7lmyjp
YkRKgEQisrbdRjKVS2sEf0tUhmWw7gw4g5wahJfjJdoSQqB/N1XTBugPxRhKJ+QdRJ1+xS+ZvVcD
v8JGr43yOYmIeq4ctyqDp8YYHGgRvU52a1Y0dAF8yAg9mIkT3GVg/g5uVoUXS0cD1craD/m5gaPx
tdUFIakOfrcf+CPzejJ9Jn+lfql5i29dPBJfs0QrN/lUwaqxRTsi/A3Fjh4YclPYUepDaIppl4Wa
/z6VivcE1NViUddgEK41LpVw64MCudqq8d8QDhJmHYxaUD01HQNaZMWb0J1cFOOKzio/ahdkVVHf
FzoDHsqwSy3adfSdrnXyaNfITIN3cq/hegQwuZ30iEiOxd6KKsO6btFUhpmRseukHQcQR8gvmJym
txmjxRNPHcClhdCMd4mBhVsangUIX5Bsw8o2HNgBRtRQclD2KcUUkJUd5lVIawD3OOQxseotEw9v
1vs7XdiOeQmjmWkXClIAHDMeQYRVYUenFjE068GAQMtYqxQZA1XQ8vo21ioHYWns5NdhqgpYFZFG
TXg2BzVqI7xrAkS+ddQmO2iYXrnuNR3Hz7rE2DZpQFHMfE49iQ/4OgIYPo8dZZmzVpkXvhTsP/BP
xudRxMEbU/3okKk6OZSTD9sA91QGs6d17+Dl6pinm+VhOsPlWXQ6fqeRHOIJvZUjh0UevoeUxSBv
O2Aa9PCx46XUS7K5fel+pedUo2K8FcRF7Cj8BKVr+BT4cb9jPDLdzvh2LlEO07idrOwSuwstJqhF
QeOUNpkf6c0wsJvYBsDibJbFOeVHIuxYBB/5SzIPMIK8NLFGDMp0P5KtKreIuOo89wjiTkf1UtQ7
6bmdDOujYwYQb/PF8GM3MSbulsadbWmz9hBJSvo1wGBSgD1q5YHUYHEkG8q4z0HaijatrfvnOLZH
b1KRsw1rDH1bgGz+GYhOipcaFhNKIyUz5ZLSBJJcmu6TMroMTH3jXtng3E95jpw6juWqN518Zwln
om3T6spHZUH3zcoUaLRpRp8LPTRJ1M0T9pNO7mkCTQ99bMDiaoBlAPJOPD0CsJNaVO9aVTVsuNXr
bbGs6flEvrNignVUwWi+pkGTYuUITSaIeMfJpjJsFqx7Nxn113cucz5MZX6/kUXdXC3W+UsV9D7Q
wQLsSN8l1V4NoXlRnZk8agBQvmo2M3gi4Um/7cBFn+ZsjD1acSOvy61hn5uBOJZuyJl10HM4jgyS
IIsPWXwTAJSiQMMY5k+BcBsvTrLomiGyHgju3bszxJkNqyUBbzd29Vee2zAr6wRjiWVN6n6WuNmB
JQ9ME1yZMUgAPH5HBGPEB1SE73QvMB2lLfdRL8m1c3dgKAqGBjNIU5u3GgGttyHL1As6eb0hXeWs
iepnnmkSIF+5uQYEVVHVxD55sO/ZZcIlr2e1SY15OPe1MImrM5tdmbHmH4MAZPssg4EEXBTtgnA2
Dq3oA3L3WtvubBGnV8tusm0U+SQg5jKsv+LTisJb3e7nN1i0GtZ8su36SjIJXsfGOJ5DmN7rYEI0
mFDHzrOT9a+UF8c77MgEz3iK7UFxF8sa74Ql5gM/oUbazBmcG+XtzDioZAms9K9GX+REoVh+CYTi
SJUO48Oqc5rP/uyw5Z5zfdfDBT7Oztx9Zfg07Qqt6R/qgMfQCmxKsjdw1x0DnJNveoQ5n+GsHtwF
sLWwhVJku6usZTZTKwNcpslErint7gTnVjv1GYZ2V8BkLI042k9mwUon+DMHuoXwhFf+eInB4sJU
xizSKKfi22yrJ3/I63XG42Qd5OBik7ForoNV4/N3fPuxid3+EvbMBeZs4nmNN+jkCHVL8iQ/NL0w
2Qw0DMLtWNlnl+fqp2970/+ybfzyQv8rAPZ/CA9Eacg5hIP+dpcevuE8eVvK7L9+Q5UcvvyP/6b9
8Sd/U5XtX1yLzTTaobtEu6hM/11VZn9uMIA0yRh/Q3z8vjvXrV8QlYFa4b93qJe1mIL8riprv7gc
aV1QHoxRLLbn/87u3Nb+PE/B289AiTYKhw06ojKckj/v0iUAhMBHmGQTbM71Ou0k4BmyYGQZmg4R
kk2dr16aYJIpUDy1HBGbhD1SMNWBtmka3cRlW8JQHVhSDMj5rbXDhJPdOEwAdtoQtlcKjjHGaAUm
JyujiKpknfVCqn9OvKFsk5nF4A1up4abyXKG8azwnJ5K8IwR9UEdSppLNiLaLK7iEHKu3fD8J1Zw
NfPWmlZc8oQcGWaz6RsrgHf7wmbFwVRJ9htEJRrkEnnFo+LSeUMGzY+vfWdVHqltm5KEMf9g0avq
rjtf677w4aiqJtuTrlRgdI+0j1PWDHianryBnoP9QEaeVXOgNhTdIzMoHVJ9AOO9sgv0xsEs4PP5
0W3UaiSwk7Ays01glzMU/8Q3CJ2znpPqJd1iezGtm9Iz4dXnMDrMyF7YlGSt8dmKj0Xnuy51OFN0
LvwifquyLjo35FXkqi4KOzqNOi11Gyed2pzho10rimwoTyO26zsfgqHoXlOOCmTFu7b4qs/CeA9N
Wwji+2UJgSvC0j7wyGBHRd6O05dLdtri6eBpQh8uYkbjjI06+8ywmqNLQsA43aJeiw9NZbLKwCkF
iGWCVLoI3fLLjW4GKZCupp8DSq379LEw0h7aNfSTem0S8SvWS13Yuyrxoa85U6Svs90a/q4jYovZ
cIltR1EdGeuwrGF6xvZyAul84Z40ek52Wpn37Nib6lJOomS9q2sPX3Z1DWNH3lbQPAQ4tDgbePZb
cDIsgJ+yacdbyf6gW08VOMcCTQktrtW3NBVT0zOWGL0ih5zYPFHW3ppVsSssbdqFQUI710Q1mAxy
12uo6HgeyyJ6Md2YR60xO8PaYYyDpbOdH7RiHC95gNfUbEe63HF138WYxbZpAqQCAmlyQ07Z3XX8
XXubxz6lcaBRm6Z1wPHlchM0vKVhrpH3gbXeiC5AFPRr/wiOoPD0LHR3uaHyvSXD7LnG0QtP22AL
ZWYYhgCYNC79K/2pJ4DMlj1Dk6uHgQhRD8k1CvmkQyedTeREzaniNI79I5qeMLzRrdF149FoqbkK
7ZkRmFRYxNVEbEHLTL5//GHBhXzUfG9gHtmg0413XOvGnvI2u9yE8NPfHTIu9zgL9U3MWfxhDob5
WWS0kKX2wrEd4grHmjGW+XMa5vqLWcScuoBWvndhHT/bMMHxqnWeCZ7wLpboncyVW3WZ9Kx6rSi/
uM8BiLyhP2P4r3TbfdCjDuQp8qdcx9ALME2ypiSrkYzMFgj8TGJG6W/DTIQea1hjPul6FdyZfZqQ
dkcOH4PYvnNICX2MQ9Fsw8zyAxJCTX81HNv3phJOfJQV6Re78V06qQBowBAW1nQX25wcVq6My3ci
h9rzciE8GrM9v2PpG8qNM8j0aa6kfT9l48UGg9SvRpwe9Rpu1MDnBDcNKNPRXg2DLMC+M8ccN3Ka
+rcUM3fHiTXi6o9R8DXjSF0QQRynl8TNSSw2LM2eoZbIPRs54z2piznmlzcqJnyJTnMg+zR93XUR
Zs/UCq51FuRvpFO4+2lhAIUM4OkiIWzogGJxM9aaM54tPWi1dTAvBSZlC1aQ/ik895RF6A75wFlx
DdT1VOFw0GVL7YlZH4mJguar05ojdq4BtKFUy6q2+RR2F0cz0oEpBTdJqSwKwNC0miu5WHopC5Av
K0D8zUMcYzdRCjqupFzuhO/cvwapab76kK+PVEX6H8XQPMgyG8+QUNi7l3KK75m/JJlXDBB1exwo
GNGNoDskI01fDJEmHXrHZJxV4rQ3aZWETJaUG9JOMLq3GB/YT8azgAhbpOZ8jzM8GDgrtAQ0ZJQ+
hjTFfdRjMWx7BsIn+LgSHG08HCPTVedUJ7AaJV1G1K2D9JIko3uX5RPI5WJkxBLXouYm64mWpBLV
YNviHxWY/yvaowblVjfcCvqTYvByT4gV7GLbq+Pk+tnbSEHDm0iNbs/Wnfc8GEb9hY2yvRuLSH/s
Nc5Us0l1uIMHEjxdXX6mx2h4c8t4ZrtrWC0hOUFbKiUDQ+0pTIbU2rQpGQUtf/cbjgmrZbfhdQLm
Xl8ZYtroFjOY1h+LczyQsSrwOzAEZgu+sger2LVw5w9h2CcgHkyhoHM4WbnMmXneOqVb3bohy8uq
ouGbmd7QD29QOxh7hNBor2E7de9GTxXAnZbAjuW6MxNyb5md3/iRGe/yDqR1DWJn8U429X1e2Jm7
bgq8NoC4bXOdsFmFqdnBrFa9Sm6bZgRugWfqGGKlh6ICz/kL8BDcvcBcB/h/hhGdXGsa3J2u9/JJ
2Wn0zDM7idY1Jh+6ANyi/0jHiXVKU6fcu8pyn9wQeLxGfJHTcAFZcp3o3cKWJQV9iPomf4SJuYwT
2yY+zTAuzFNIefwLqEI1YrmpD1GjFBbZJi+OfTNUpxYD8nWUjn403TDZMZFkbONA/Jw5fV7mvOEL
cVl0V8RL2hfLrahxhgP7Ioda7dO2Yq8+OynQaCe/un5lEq1EU2SA0KiXVq9DCBeDwXYIvIzlH2Iw
4jdRGEa3qV8lL4WrqRs2bJW5J4RNLq9qXPxGU+e8unA94HiqD9JMy/2kaI2m1ZrLOTBJL5LceIQh
kxxgqqVknoyyIUdvN/ZTDBUu35bUKO1DsKuveSCHZ52lk3IbvS5P4EXcbchJBYfOrI+YB5CwKRbp
DtNEME5vKXfzF32C3q9qJeKYNsBo6D9O9PLFwGhptEkNO3l1aMzE3N8ZjleTE781pi7ENK7J/qtv
Ne62g0pSszHaynLJJhnNW05+2RsGLv+uTayT1jqPJrSg/QDNGFWjfKnNtN73Zk1+2+5JqM1xj91t
FA3DkyIN0oeIy+SlGuXISbGfvYh5ZMbxW4uu+ozV5tgJy43XBXDcYJsbuvkB49z0qYTDEIHejQSM
otRlVY8zv+m8mVlXuA6gU63h/tvNmp8Z/DakdVBCXZm+RpUa+BLdnnkQFb323o91bT2HXXKhoYg7
1aUFZFNMQlxUET2mMrAvC3PgMZKxTUmJQVCrM4cOUEtBKUIpC/G1tDKJqSs2vDidePQWQb0LJD1Y
pFiMx8E8+HzlO/ICC3zSumkyKc8cP83tkNXEWhgTQI7CTJZphP7saQwujdOWG6G0WxuB9xYvmM/U
Rg73flVE52ROtV0iIoGFR+MZy7BdpwSHCK+96f1C3wF1iG+1cazPQbUMM8jxWZmXIfTdUKXG3qjm
OPNsQTGn/6ctQmwJUy7UCeRD+9xxXHY2xmgGz2BGQYxScnBFuNfjjdGxS9xpVZ7CFxDQk1eW7nJ1
Aoa6HaYpvAR2S40K6d2J2M80zken7qsPjdLUEw0FE3ELG4aumffquaEm9p7FTjNXGWrAKzew3NHt
l7OFFkz2uGfyB3seg5sysWpWVCAKG3cuHQJBInx3VZ8RHx2IsW0S9puHHHABNIM5dyHs2HDSvTJr
9Z3RGE3okdQyclbNCWdbB3EKAGiqV9V6lhm/UhsEFMB0jY1RyTEsnVICE9FRmM1DHuB4XOMFIUIG
vPeOCXH3WthqouSon/Ibahehr5K2WtOOwxZnggB/5zQqfW0SLH/bEJJ0dtdgkqBNtoKNvrFCE1SQ
K3wwM1COQMXLnEi5N5aayU6TSxninu6++HbHQae3fRdnrM2lus66qgGul5Ix35T5hG9XzdpL0wgz
2LdKOhQ6DQPFsHoQPRWCPt37rKgngh9xYb4zWwoKgKtZPe182dq0JdmQ8DdpwMVx1xoLrilNCyhJ
DqgiHnop9kUyr1fuGfoWiWGAsQixNYO+ygCgg6KkkeM0wj57YVmyroogKB473z3l/dQ+4O9sEnZT
8wspayxLbkjehuU3xvmIDEDeuFLwZP9rpx/fDz/+r6Lf/DboYJzxr4XMp7Z9q9/+5ZCEP/vbkET7
BReN4zB0UUpJbZl4/AbAAayKsvlX672hwVVdRiEO1e2GC3P1jyGJ88si+ysXeXOZuGDY/zckTGUv
RoE/JEzmmoxpNEA6khmn45pysVV8J2WG/lTWFkeKfcAEI+UEp4aZwUghKGu3rTcQEfo9gOBiVZWJ
JBVElBH+wKRYCUyABoNFpTL+e/pLeoYCPrhJzrhPEC83eU+thm2TIwpVlR7stuw/hVHXsi8G476K
20BEa3fOjRgPtTUfaMFzEnDokbyCrzN2OQ1Q8BTZbaeVSVlGziGBE78TrmLVjeBbB0/kZf01qPtp
3dpJhyMyW4harubcypZ9VkDuBfWHFLawu2qX6Ux+zDaLtk0bOydsuVA6QiZDlRaLfRgb7pd4AVOt
rIpqeK3x0SGnTrJoRtFdUqpqzy9jbzIw1/BD22E+UverbyQWip0+2zRVGym5BdTG+o1pAG90CMjw
ZQ6DEmpfJsRNYAL09Vidcw8wMNioqiwuvWOWn2SWVkC+4a3O6iPE1BsquuJVYqbePKXnvicGb033
IaHrtWV2FxJyN+TImGezNO9ok9nP2HgPOD8pLysI+i9TiKy8KZ0Re12YQGZpLVuNrIe9T+G4Gd1j
nDvVCabi0snMDR0mMCkdqqx2YTaxRLZuLXtkE71gAyymm4m5xUe4PtaBTVx5mRuto6hOFwrbOhZ1
Kvoab1SCfoowTEG2t0awmZwWUVR3tQTOxGh7fVNRJBF0/VNvWArGGF5mcGpzz9RBaGcWUHEoYK59
bmjEWdOCjD+bK60hKjXYL0OqoIKzKYZvEEKNVXwjW9/Moi+Roi1FclUiQxUIZAVi7Z5kf/4RqqK6
s3E5EVuW8ae6LF5bZ7Jpg5ntPXWYyTVLzP7STLZ6ZgOXrsoolOc8quxznHYBOzUVEsccz34xBude
jvmu5pThuXJI9lhS9XtbwM1nC5oVPIfZQ0AEaJCe/e7WoUzyJh0JF6xSasDYj2faeZpRUxELYvsZ
bSnU17SshYcCmfyBk/F4yIZGu+iY0s0t6l3/Btt5OPrJ0jEInmmPnbn9OGQ+NeY8lz10b+OxkY6A
Qj4UA50vcf0xVcAvGGrNTbXuR0FFiitJYDCey1B9AHGBgwfav00QhCtkV6ckE5mM9GwLXia31HDp
lcqeTZRfOG/YEdYVEjhDU/hD7J97AxJDQMGs0XBwtGOdtuRI0pPOGMCk6UmPbmP2gytnNtPLQIPi
uVeuvIxa74wrHXX9Ac1HO5oJ58iVWWnFZ6JpwZ1spxDdU4vRKGpA6XT3LBAfzRYnQobk5AYNOgQv
msd3+mxw4Pqf7J3JkuNIeq3fReuLMsfkABbaEATJYETGPGVsYJkZmZgBx+CYnl4f2KVWVelKbb25
ZjLdXVblEBEk4f4P53xnI1/gHtMR3R5S9dIs9yg/5pN3gWUMGzfD3wgavueom3SjaoxqoMTEkgJ7
44LdCDYCh5XH1sFrIOqZKXwOcSF1bMyOWqjpS1qV1YfLpc0Vy+zPDi3GSxfgBxbn+BmjjYW+HR4I
C+xt0dZ2T26t5n22cUOyjSDiZSbP1rJxReKknB4gos8Pi+tOG2kCAokibGHPkRpB5T8ZG6XEa8b0
htQycQo2hsngGe09/X51n7me+9oacnoVG/VksrdifJ0b68SGx3jyFm3dQSJzX824xbprqim/xheM
02PwYEVtdBXo6favugDy3JiTenUbGF6GmrvXbCOzFBdIS7nxWmyT7Pd8Y7hYG81FbFwXBqA99VmX
kwTaw30BFxITQOwDg0FivFxtofI3SZVhwt2oMaR8+5FJOQtVATV5Tibqe71xZtre0o9t0MX3/Gd8
pTYeTbaRaaqNUTNYdXtryV7fjhvBZvGG8eCYVvVhEcH+EfiYLPXGvEFNku3njYNT0NBF1bjBcXzD
gwyxEXPMCzzHhSFI6h1EHTU6kLQ2yg5skupeYZkKcxA8Vjf7oQTKw7aOM55brYqbD3UB9yzae8Q/
BNIUpo+feslzu3F+6p5lF4q5+Th0U00Trq3WjORCnPBOlCk69M6ZpoOx2DIJB6QYNwpZRLhufKFO
kx/F8p8nUlj1yc3hd6NwoPV/75buzFDf+GI2I4nJPnG9WfJlNhgHc1RHJtq3sMoBjASq6qKhM7vQ
nNl8g4Jh6rmDcmeX58KmWN/xnlSgMXTtw4/C21wMeXmVkv7Bz2KiROhmMlbTrvuA087JrBuvDf2J
SSbrTXd66vp1YX4LrcVqJ/dQBxUDRKNzq4j5bXCaTbVEFeRHIBhzsJvyR8DGJENVur/HEK6+K20X
pxhBwPfWJ912Vrw86P7cZ4Q5Np9Y5XxJe2Xvl4bxutnXy7U5WcfBRh7DXHA91pNVvhOS91lwaZVV
/C2dvf40VWXEq2KchoY1Knl+5JvGV4Dpm3B2DPuRWbY+U56LJ2cZex/MF2PX1KsXsmh8F/OIi0pr
j+jKPLBygEdjCePXHHfybFpN98rzAfTJV/pkr2wyqkQ3nxXerpNvKe88WGr9ho+s2Im0vo8Ls6PA
X9YoGav4iTeg4jW1fJIgis7/5lvLEDl9m7KAnnMWPAuRZv1sHhVxNfelXYubPsuIgBrFGI1pokSI
6npUB9rC/mTJAfYwENbgF72bHcaGway5KJx219mdJC3Mn7LIxGTlHGWdEZnl1MYjGW5JFqWzM57q
Gf0IC3CY90cjqJtH6ous/kJzYqR7oyohgnIMhOmVIAvI39O65dNdQIN7Jq2sfMCskv2sOHGWXeps
NN4ZX1Vvy+zFrqo8yil3Q78wzefeG8sDoUsr9IjCs09VnGYHRlhAsppMREj4SKZgsHASVWZF2pvU
Yz9Nd6TNwnqmU5+7/qpr5mavZzDPvkAZNFBahJjmkrDrp/lzyub516Sszz5zuw8PwrdUW+qoS/t1
FxiJPOlVk1/kZVlYN/Z049mb91uJ8RrlWLdvYhI6PWSI4VRyPfVC22e79Z+tdaquAfsUEaMxf89w
tgee5JmovHEQuaVbH1JmddcssEjhNWOyP5vJeBqKamBRZkpQzLX8IgE2ffp2ax94RpNjzXaOt0FX
z3ibGWHZfnJPRzwf+3UcDkZemaFMS/mUeEl3wwQW91VubSmRzgD6xBqD5MzmjhBeb0iuutlrv5v5
OEe+oeJ7dJQ6ElOD6IQjCu9L7t7qhmQUo4ztKGmBwMdMWrNw8jHGpgiB3QggKoCWglBtrPWTF6Wx
SA850WpoyorJAEvbONceM4XI7GY02rM0n+Ih2AxKwv2iDYvoH8hExIVN5uuARxGfK611IcfpKivj
5t6bSnAIWq4W9FxhZO8ukbindirUo7BtTIRWxnIiw4WJnsZBC+SVPH/AMYhyklbkkCV6zswKKw52
U44W8qD9uvC/yN4tX8airo5yqEXE0sE6rYXj4sJaHFgnsQCFpsy9Q1oKVw0Smx3VgL3PRD3f9GJ4
cEVPRIgSNwW7t8gvuzcjbtDLOHjkFrKUxinF69W4L3Zdksfmd90+a2haFElFIWbe+axcsmq6uEYi
NzugOMnABDOtK6yIfDBgyVQDzj84GPIZ5SewhGSI+Qlmb9fFfXz+Q2f5fzH+Ws6fbRn/uU/7yzIb
wCESKpGlpxk1586w3WIP2sA7QzYiCMfNydypJ+OlDaz52TfN4B2EpbqzUsKCmc63X1k95ZEzUuDv
DBYjx1Qv6hmn3XoQrsHIxyuyfdUFxj2IOSvloc2YzwKlIowgcDYKSGxl76zcDZxZZU0wrjXURzV6
GMjq4tr3M+NHQsrE3jbm5g4ZTH9iS/bKhGVLW1JuFLeB+W5p7V0PpjsAPSC52eN7x9Xiurc43opD
6dqdu69an+Df1PM+qNQTDJCQH0ij/9aM7r0e9JNDhbJb0HxBp7MWAmzT5YEdEKLAYr3JxsKjAveh
aguzw/CMlS2VB/J7GaiKBFcJo1vITYx4hjlcKorCaMQh98bGpbT2KvMJietSOd7AeGZP0FLt7gim
kg9N0493fbnmeOQ4Dr4sACx+ulpkn3Bxxr1yDC/CZGsh+SqWgDhfwtpjaYuIxFl57QzaOLmsyfd9
vjYt8DNWWVAQxPxz7Of3HmgyuwM3O0DHLA8uHPbDmNA7SeWi1+3W7Es8uT4ZbVU3gFBx0fXoZuzB
n6zZ3VrU3NCsH89o4+R9Jjr2FfY8Zo886AGgnnm6Ikl7vFoFFTZit/6XSgdKwYrxFrTCjb+gqRdY
+zJe90LfNJobWBv53XgpuctL+Q1CwrjmFqYoz9XUbzNw60AIOyG9YkpTNqdU8valqAdxb56B5VDp
swObOR+o/yfDH1Do0BMUW3cACS67JbDBgsKSkNvS55N5UCxKnmFhNtdQKek1JJUZh9HWgtiXbkRv
jUm1tSjA6OhW4q1xmTo2MZWciNVMMTNHtm4x8bH9JCR8a3n8S/vDOqRWp6H1ZmJKpXmeOzeIFkfl
vOEFH9ygQD6auKb3TdWs03CE4uaux+Hembv8SLh9D9p867fWdn1SnYNCzFCPBjKwkzJ4wWxs7I+V
RpPYQJwJDQIgjV1DKXz2MAtfQzZId04XD3KncwDdqU8ZxmxwCMI0Eeab1bpuSO6MfR/4k/fa8h4g
MNhaxmJrHotLH8kuroCcMjApoMl0yKwOCWSi85SXLjTYGlJl2sWx3ZpUvbWrqJOTm5YOVm2tbLY1
tdXW3vJNbo0uLW+3Nb8oWMd7uTXE/tYau0bif60dIkL7vPgutwZab630ujXVxJ3WR//Saa9b051u
7XewNeLLpScntIvh6taoj1vLPmzN+7y18Sw06Oi7rbmvtzZ/3Rr+nEMapQG/O7awOPVlMlBsQwL8
oB64QwYH1qCDf2AXMjdD2X8efFEbWtvUxvurhp/1XLI48+If2RU8re/2e/vNeG8fp9v+AUNhfWeU
t//9Gf4XdsPlCDcFXgasDMh6YLH9edQ2MS+oAEfEx1H68Xe4axmzWydfbplsr1ZIYbgxB1pAYwjm
0u+mu6JIcuLi12q6M7m0hJwd2NouOV00BWK0xjZXkoXwQxxX5NJv/aDkM9hHTm6s1+RBFg6y9Ggg
8/s0t01L1ExXnGW9zldczDxuTAd2ALgf9bz6aAyNhN65gkrsmPgTtr2fj5f8AwxhfNVPMWrUFgY2
odQGBuqpu9FDXTyk1cjKt9Tmej1S3z2lxPN9c6Ysxzi+meGBtXWvTmJvj2NllW//4EXFAfLnt5Hd
fOCYcgOYOBIs+J9f1D4IbHq91jgug+9Ags6uBkIHIncxgggELq9VYLv3whkME+0Xrm830+gpLc/8
2vtpWkPE9JLPZdTTuSqd5drwzX7b9Afv1HfNq+2rG41SGYIDuxJq4AntwZBBMTNUwaOZ26y9vKXA
Xs3sYBcPuentZWJ4595P6iYaFr4rO7BGCuR4JSQHGwC5uoMExYeim6Dgy9WUX66p9XJlIcjn+mJD
jWZqu9MuL9j/bkEjd88fPjZbhNrvqsUto+1f/+X6W1fz/wpc238UM17+1t9m9J7/2+YZ9AVuIcv2
Ean8fUbv/MbnC3+kDSnY9d2Ap/Z3o5Hp/warJhCCyb55STn7+5TeNJnsY5wJ+B2HX8h/CpCzfYb/
eFRJFyeutSkY2XRDSPzLZ5xi2FDeEAwIwd0TYq47yaFA93cYMcEa8fAwNsUvZuTd39Y//6WXnEHY
X78yXljYDASpSNflZ9mevj9sB4hmspmzljqSpBL+jDFD7ZD9ogue3NFMrizAh6y7kWIij8yM9RED
LaJ18ujX28zs1S8wzODai0XPkhhVNGWNv0DYshwieZh5bgLChG00qTWLj0GhZaWlCRs82G5shWln
N8y1R+9sJIM8JCjBVoTuLDxBJwAZl90dA3YJssb+kaNl22MbOeRkxYWDkY47r60fqfAYZScikoYl
2LLRVW/X+aM9mxL10jzatyZej/syMYtbr2c0tWMlTyymn29IUb5evMz9cbZlxcSuiagRblBi9V8K
Dl0WzQBvw3jGwMXOP+MvTwjkw6ppxx+2NJyXwevnPuy1mdxloBhvwLMylMuA/FqQ/TZqEM2pNbg5
fPU8eWUCFjxiCpjhKKZqn5TNkamIflialgl9M0BYAyRGUds5xgH+sw05eqR2mox++BXPFqVW3QRA
xJN8CD4HqjREd5M0sFYE4gXpe88vGcfLfazs9LFHk01csUMxDQolAWpDbs8GTfTTa6gNhPO6Rn1j
oTcIbcOVtwy5nTuRrVkaWcXi3oOB9EKycMRNdoFogkW7n5MpQbOOXgC9ZEvKqGTKji5WxfWxcfR8
M+b+cCCcvQ63sNpDng3rdT2P6qWtfU+HreppZD3bbV6Z7mFjGgzfYF4NAuao/TFo7hPLbnLGEgUJ
1WCZB8KmamycTq8C0PeNdk5SiAwVYSrWV4p6UXQIMJOBm5LM9XkDFi13/Lmp3VlTbf50Dc8VEfVG
HY3uENxTzTCAECOU71B3QFBd0xiudD86cufXTT4eE/xdOJiEZR8d0gQUCa7KfXWXEVLmmi/AWUl6
ikETDb5PCdvnWNs8tVzFVc/snaZTfQEBOnwAZOSDVLTiPRFN+jMePPWDVyZ77Is6wITjQlxrl3Kp
o8zR6btTQ6ndZTpLDlZOBNCOXSM1m6X5KquVYluPiwD0H/TDj0k5/VkCUyReC20gxuQRbMI+ZaYb
WdlsAVoolyerYVxRI+ZkLGpaA3hjlAMVXgKALG3lMdzLk0k9jLEZfPR+k76hOCr9yPG75gu6vsIk
wTCRr+OAB9fTTLUjDQ/4W9UM/cuUBIghLIgu31pIMSAbPNbsptmB/5Fl3gm2bq350+gz8ykdVPU6
unn8ILFfvNcaSdqOVN/YIJTAFs94fsBVO5iIVYTbpHpqZOtEPcEToGbbRCGWg5OP3NXWqJYzWpmc
1700oFnNODeSVMqVKA3LP5rpqDsKblB144D3fUEYOh5T0CGPqCdbNEKJKK9XJHDmDtkKp0jhVdBK
yWQ37ha1kBtvFn7xmlNekNIjmhz/cu2xwhBAsvaSvf4JQRU7S9PIaSDpb7wrXSPJYXNZMfVSuZ/f
bwO4e2vwXA21yAUFs8JffcjQvb7ylsLmUrLahhJKst+S3VOCymjvKAfXj+1WD+wU8mhVSLTQIc7t
u91zm3CYieXrxMr4g8Ocd9RXNR0HE63aDYlUMoKwHZMcVR1aSAVxs5rXHQ/5gBpj5js1FOCNRCJn
5zvcTHljzbEwxghTAW2v4+00sHUoBRRsxtglKwXCzC3AUKDDvuLHG90QYoWrImEaNXnkiyCtEqrY
vUH45ou/zG4V9vHowayeaud9qlb12SZrV+4BhnCkZyIwoIlaXbKGqkxXgFd+tyRXTN6YJnq2Xdyi
FxHpPUTxKY028f+5GWWSHvvSHgLmZhrB96JNnq6OtgsIa5sbJAd2cxySqdz1UW3V8aGve4UQsQcR
6tjM8veTWplrxfYWV8UHp6PJJv08gRBqVEXYTJCk2rhZKJQXt+ePmK5LZFfn65sOWgR/xV/PAf5U
pkZ+TGAfI3WPkQI5ZJ33SiJ3dR6rsbjGzslBLFCynGS6cIMWtV7eKt/k0Ev8bLp1hsKvo6rgpF4h
fZABjMK+3dmu4302tZRPc2ERhoGItdpNZApj2NFe92vRY/qAHwezYwZoKBpxLd76Fc00P+gYMuOq
3mr0U+ek8JssBJXGLlqWydYirNeVVTMm9nR/zXIYdDbf+bcVphxAeYhYnthMCNhbse655a0T6545
GPHHG5MbmnZoKYQFpxgHBX4A+AffRLKg+NKSluOmkUtJmKEc0zdhw8uFdlNmMKXnGdCRMvnZ5jhd
3uH3ymeOX3WP1pWsODEvXxvu5xsJEgqNbWmVX4H5YcAw+9WTjBklKvwxRycQWtpsg12/YKgCIyC6
j0m7NOyeMd7Gc2zdC693f6KBAkkbZ+uLy4P0IwA/ikRJyAwRanm0nM0c6jcDWW4daTOfazYmuEXb
3oNTRp49wp5eWg8ZhNinpjH1lRZWUd607OS/uvg4f62gDVLoSS0JX2ZZQIHQOaqCbDfMs+Vcrczj
27BJcC4sppLfuF2yB2ma6cyxpSqTnaju1nLfDAoP7a4Fc3wHGJchEaHkzkySde3iyrA7B5OKdvcz
wW88BFh+IQLjnbCC+LYZm7ex6oDLM/rZQ99twqwiE/BAYdCuoR4YKl9juZaEktsMJ9qFILywilGs
An0z1B5B+NGs4qWLtDIQZFSW/6O1Bvu6TqXv7mbPTDqcD6ycW8OQN9oxv7asmV8gvzrf/QK468kT
fMyigNwzxLm4cJl2oG775UuDCUurvVGDmoItL1iJYYwgkRPBbZHEjN1nnfN02hr59zTZWwLmyCAl
Ej57x52vZ6O51qPjvE1DyyeK0L6aQoiEwNARXHtdKVixEy7IdckFb/7qipiEbpPA1PesqxGhGEjR
72SWEdEklmqM0mxJ6PpTPCo3xVwtZ6TMxveYATvAeoTdBchDX4TKLYYPux1xDZQs5T4SQzaSBfSS
f5snm1MgsCpEl+ZqmE818GznlIyK2oSh3PQCT4WQA4j/dn+F8t3G75LEiNOKPF+SLwtclEdRl6t/
KPHbIPSC1NZh9K7bq0Fa3mcVWx07rTj0AzJhu1YFoT2Y8uCOTvo2sWciAH6lYsOnbRJp0yM+F0tH
3t6MgQkkNfL5wTR+LGaivgo3xE4EKdoBzZYTn7FLBr86OEAbd32M7hTnNF9MJdadzn1CBaWbonIh
zABbANOiuT4lgTvnuyX3nYecaVc0VTXpDH1XRl4QO1y5IykisQvXw9P+evDx1mDGM9/4JNq/pqyH
GzlmNk9Y4wX3nu66mzydJwyPeek9ruaS4dln7/BkLGb1hckRrx8PxeuMLhTVuW2vDJz6fHmLHb9/
7lnQCwJp3ZkVpUx6GvtF6V8B1eAPJx1rkPX+tvBp7Fj0ITmO/i/b78cOTnSaPjtqabhicXd9mXob
k6y18X4Ti08h4oWJABwTPuSvzPAgLa5t9TStHCo7VceYm40Kuv+OxNKUonIYZuukHXvGO1LMy5mQ
YxR5DLFQhC/ctKDCMQW4zmKnXGN1W95WVPPVvkCyK6Azll2UmDJ7UkVrPDYEp0arZzMWqDw8qqIl
92oibAVMXW4jDG1RgxOFJ41zUcbAGOYlY4PrpTIgfwT8HBDkhUqQi7JsIUiOLFoacwO+JKtMUc3j
1On3hrPw0npO82IOVXVQmShkpAslrud1Bvo29JvcM0GK/oa8mmTLCkvAz4J1Fa51L6Yqqo2/oRVE
gmN7sppXFmrl84QI5dOqkuaEbHVWV4xM6veazrhBxd/l33KnSQTWZ+XeTUvBysg26jKAgi5MwBQj
5WFQBws0UfJmbUiascPhwMp/5hpu2ofOn3I4zRUfQ0JlVwpsbdDm9E4n7kFWtOY1+3REAkvniGev
7uzdZJQ/sbOwjUHixKylM71Y7sYK4/vJlYl5lt3k3jY4FdiCD0QSA3fwxZk1IB+4mCf/CuBYd9/b
idrWIA6STcelzRtnhZULdyVaKwQ6odHkn6yMNqUKMo9rumT3QeY1HgvylCbs+xVEgts5LV626Mj9
QPMVsaUkud4h3aExhr2FQ3k3MVvteQDuMoPhFXhZFbIpE/QNlB8dk36s195QRNADaSzWDByCBmkx
j5M4FJv8q4aL8IBXqbqvlq7ZDyZVI6LfpYv5MotT3jS1mUXGQi+CHpriYs7lHRSV/lA35YloYjAY
1JdJX0z3tezEq6irLVqT+T1rof6NOBYdDpklHxlekqGrchD/9XznpQYzPsvV8tQ4c3AVezGqbPa1
Cch6IxCkibfZtWkCOWi6zCdWqys3j3ITnFcI/QzL4wDqO4f3T7/3jq0vWE6wW7lPxpE41BFGdmOM
/tlLLfvdIirj0+cCDRET0pyVDX/E0aJFtkX4ZsS/WBj3q7Q9L5xtNVPxIjJ4ZmciTlYb+2o3EYH8
vLn+rksirHaMPNWJAJbxRXlt8RFrseKIFAsxcNqr+w+7oA2iAMhG61DH5EMcu7yYfE5Sa94PmZNg
p0DP+2mYQ3ezmCmV5ZgGXGD5bAqqAYXm71COVJNF7gcPDKPhTJp+qwG7TAjmiffDnK8zsyGp3aRS
2Bfbnal8ELZAIZi+ouuyJwAOtkSecjl2Br61r4PEwLafNSD6/TwbfChGMongl1a0CYcmt1FpWg3U
mVB5UEp25P0hK8Sn/VO5MD/3jhUUy94nRPwqGIM5OFXt1IP6RjnNHWyX8qef2CXrgjG97qd+ugVc
sUJBESmFqTZzMOGVMzQ7B23MA2OB5jRo2350BniOKDQER2Lsy2mP2jtZQqV69BrgmBYXGyRRgGHO
CtHCAWOJG90pdQKlQfU0+Clq6saYhx/EhPnD8f/t6PN/rprZ2aaW/7WS+fongtS/DEcvf+X34agH
awkkXmAKH0mPt/G7fxcwO79xHuOwhuW5YcD/QA83rd88QfcSOEBRPHBz7F968LXpv/6L/5vFQJXh
qMmUHcc3qLZ/QsJsyT8zEz0HL7l0TVdYTGKZ9WEb/9OQMtC5gTbGLCIbfJ2MG2oy3SDsC3Gk6Zs6
Z35FXoN1LUFoIESxh6uGPUgZ+lWg2KYZw5szUUnuanIr3qXiYuCDXjdXZWxCQgv8AiZwy0DrQNCO
fyfSQfpXKCSn7KZz2+YHy3993dfM985aSMYLqDL0iKkwJgLYIeaDDQwnIWEQmcpJEaOD2yMqTD4J
WHQr4g98CVPazhFbDuTsoRQEEV1fT0zXXnAG5kVU0yzcuKuIr9F0dpqkRSHf2nWyMDVY/nOfGtMd
uYWozsZtxCdrkZxH05eaqWSKDArOTXC2zGK97eGso6cyBIldo1M749mighQwXOIOdMiSWk+g2LV7
KArY5mR74m7ZFYnJiHZyhVcjuEjnGElVr9fITVcMZmSTIoboCROb7vCQeP2NJZ2hpxQlhCFUDTso
dGjmjN+ZMkKEWV6pX+2EPw/hTUZmUbZ0N82SC5c8UQDDobS3DtuZ8oXSy0ItFhdWhihwmMuBaI2B
G2mCM0GG5aSKHwWJHwryjS6b/dIXfAEnIelbUHPeFUaMv7n2nGdaifG0xKBnaOWDe2sasWVlQd7N
Ud+L5sWyUc7scFjPoJ8TlmSqm0VCB9bNr0IV3gNTOvmDYw0ai5baJQRWz7w0fuKTGTTlsoy021tv
rc70G4WBQ/he6RCF7kMh0PhnvPYaO2/95KRVS9yzj+Bqp6jQpytnHtIljKuExu1ycLqXQ1Rv5ymB
4s3J3c7Y/nLcjtvJy83CIdym2+wYUM90iyAxpYrivE7Y9v50Lod4vLpUSMxoONz7eA2unNHIl317
Of4RYpn8Oe6E9nI9VFLYRTitQTWTLrZdIdPlOlkuV8tyuWb05crR2+3TXi4iGrmeLdc6F8ymtquq
vVxbQnX6l7xcZtxIdRxml0uuUgVJmdZ298WXa1DYdfwAPRZG9+WaZOTGMwjIl+uTHQdXaWJxq7al
LD715apliIU1OnZ1t2eCyExkh5zHZ/VvD9VTEGT+vqf7IHRqLCuLVofyMH9Va3BbevgFat1N3oCn
HDqssBgbaA8X90KO70n0In+trUkcnRpBn5c5600S9CUtMxd/O1txG2bF5EFxCOrBfDC7rHntJhKm
RtRQpjtOOgxsIqHOTlDVT0mao0bul/GYx8wsrsCySVSBuftFaD8jld6vxcQXIBVzJ2IjU9/tvlpv
rNGEAMaGodJnlFfF8gr+jiztdllGkezsZZbFYdQChNWOJHTmjxXq1e+x0aaPk67l96Kc8C5TmLfp
1UQ00HqXFaW5hCaPjD4EriI4j6p1pu0j2NH2rySBZusdPuMFX75h5K/Dgo+CWPfBpUKZ6RVIlkkt
7SEQXzjmd3GfMo0nRrc5+NDsvjWzuq57PwdZBu2JmcWOobhN46wJ8XGxOWS7/+OqYBFaaRIsq1nd
96xCj6ZSxeH/X+4X8MrzolhhfvusMuTi/dBlP4Y/rjE3WYHgTmRtiabA4uX9b1ehN98+sSz9w3/g
bxe/T9Q2ViOCtiW0FkAu3Ky/X/zWby4L0W3f7vALC9fQv9MXvd+ER/jx75Hemz/p3+992/qN7462
DekfS3cGl//Mve9fCLX/sRb9O33xIpX7w1LSKYeG235IT+XkVZvAJcBNpFg4kGBWteAYAiabnlH7
R213/VkMRAk1lo/JeJTMNhn4IlWufchje6jqyH5JxL7tA3955dnbEhIzEnAPHdxD5jKI+skvyvsH
rxDOHHo5bSK9HvYcuo4kwRqviCqLepKkmh18MQhEoz8a6mpsGucLUnz7DKd6+jbGS/1dpYXbR2g+
1LGpaiI6VjdDpFaOPdxa4vfkR7cUTKPtJpjJ3oYvgn2mLMf2iiApgrVaZnj5XisTx03uy+xhVh6Q
5nzt2meXye4T9smZaDw9xuG8dPKrtRQEy84mSUnzaAE7Y3xflgdcyqlktJyKr22+FHA1bKPDjFUM
3uNcZyNTi9wef+SuMTPbrpwzEc3JIx7zOtqEgU/oDfWbiDv3Ho5X9Uh+riSnwwlOuLDX42aTIZlS
evHNyFIbjTcEBTvBWm5JVGCcYV2lOd11+iMAGZOeDGiWQVRackRXUUzrtTIkY6N4nJ8EOwIYuxUz
lThR7dfVKhxCJ8gfjdI+jyFHOXnyQuzhiMxMV8N9qgJBt5KDsQeBwhpBJxzERYm5hm3WOL3AETJe
2yBDCicnT7zgxkg5EGW7FFGGjOrel6n1PTen9titfhuyGCvIBhdJf0+KIurPRtWVF1UKZybe8uEm
h6TJhNPu6pOHvL6/ciqcDbvCrIePCktQh7xX9z+TKp6fifYGTtyTRcWQk9Vm6MXa/9KoTjJ1aeqy
ZELgWMeizfvgzg3QiqAgIQksxF/tMAMwSnJxptWbOfyBAzpRPtaGfQBn4v2sQWc4e8xXbhyC7Vdr
JFurNMndJgITFE6nPljcpO/CUvjotrHeXeXO7gj2oFqIySYNdjq5tQfdkhd21mGGpIvXb0QfTaDv
WONpcZf00WXU3fHqy+S96u34V5Yrj7iD0op/4jMbTn7eavOHKkdWiXAIzPFoV/HKR2p2h+bgdXaK
5620zBsdpNuaFGzBFcyF/oeW6RwZndL1XjC+/kHkb2/cmEbWFNGodfDhNOua3+OVpbJ15hgr2rRU
L+2QOJ+Lu2Zf5wRby67DuKjQF1dlaGICO+TCKJzQIYLvSqUeE7k0B6C/ywwAVHucJiXDtqaAFIL8
Wh+WQCxql66L/zMYO2ntyfI2I98rWdKP8+A9CB33lP9jD5WdIvDJKIP+O2Of/i0HS3jrzOt6cHU/
NCy2Zom9rgvGh837/DZ1LuMrd8I+BZDxMJaYMqPZzxWC/jEeo8oKhgzhPEEqlqpLXguAh1tViut/
IfeNlMaCpC2ZS+CVORakq5owQ/yEsb2CN6oZBwLoaNAO4UTfsSGRERyjkUks+n00tNoLQvpqACJF
uTxy+af+Af6SiolrW+ZjmxguN3MprjxqNcSPvI1fu6BYPwejTySCTwEyqBqML9pLky8BZgsMFI3j
PU6Vyp5G4t6Z1Y7SvBIT4RMOGc+PmT+hmkU/iwFjqkk1bzTJ4E3qReM6pQdy5uPnQXPkhHaVrMTb
oCffkb3DqGoQNBcrA5MPVIrNHV2cC+YWRgSK0vlKx936qRe78cOFKat5LIrG9pgoLLz3DDRTmw6C
2bcigOUr2wtrIrjTRDDhzgTvcoYPL7w7NCWCFI47G9tdCM+zXc6GO09EoRKPCW3LR1YdE5JThALl
F/G7lJ3fkSnLZ8ZOfAhboQP2y1Obf5iNo97ddpoIpWo79rGWduCFOUjj07Ap8qKGZ4mQ92gpoV5h
V+bFo+U3ZPUNLAPu/URgTmIqKqzrNGefth95+bdadCB4VSp6wpNVTiSld2Lp7TvVqu4LaBu2VhOT
02LvIey47Vqv/D6nSforhdq6V73InuEfglIMSnhXO4/11DFv45xo2qTxopiNlIK752UnhzyYZG80
7XxmX0Vklr3E5VlPo1xDl4K6D5m2Nbcit8Z+byZ4JEYfoh/ZQ/a6Nxbj36g7k93IkTVLv0o9QDFB
Go0TUOiF00e55jGkDaGQQsaZNM7k0/dHvxeFzttAA7UooGuTyExkRHrISRv+c853ssNQxObJgq65
HYjay3AqsC3utW2n12g6WMhFBbaXy0B8GKa7Bs+hokOoxb3aANa6ntMadb8o6KYytTQzuiOK9Ddj
uXJn5vZ5nBJKdQhl8qvwMuuHuvLaNzsnHom1zwRKOHdcG9sMJNYG1TbZqs4D5tlmTvWGr4X7FrdS
hn0YGLFxu5vZyt+ZGlP8tIrtaaYDuYnLIL+K7RFnLqk1nXEgixymsMtSsg45xqGxHm1/ehBWRb7R
HJbvnN2AjTrpnvMy989qqVZbeeSHsmy7xzLqhx/J5nOwVUfuJHA/vWZ0t0uPYAa2U+FsbdsXe3Ls
o585Hq9uTuq/8y35RydBNITkdYP73iIOzem+n0Iss/WVFRE2AobTk7CyFg2QNiG/gOVyul5sTW5R
VQxeh4j4qcNCvkvHUtcba1KAfCXubmgrVEplYYxOfUBW4Xa/JDo7LUlbPYpU5lc0GNnXPnL4eQkS
ee7j3oenXvftr4DnbNvSDvjlEg0vGTZIfSeLnNLowoT71nWlFco6wuI0GeI74IEBYM1wWqcBV4t8
SSQit5JH0+nqF7OEAj/2fP2U8cS/AEN5XKdFtjAudPF4WV7q3ZZZwK036bDpNPQPhm7T1R8dzolw
6XT3rEXbfk3Kqu/dzp0APqczE9qMzvHWab2dDTPvwPAigagDtaLjzCW8j2Kx0zms+nx6cWWCHO+A
u/gTxTq+KyLDvsaiTRM6Ug7soZGLOhto1ffvg5y9nTdo/8mQq0CmzUi9ewg9dD8nw/RhILV8ZL1E
/U27dHqtg9Q9xH7t3QWma1/hxMeoh252D7x3/s31i0LlBVsJx7OkIQI0NH73DHYCb1PajlCPbZif
DEqdeX7wVePvGaGOrwtG2D32tuIzEC5HDch+tLV2bUSiNGo6eJpC2+rAVzVeW0A2WR2SqHlIGpsm
CcwlXJG7JWelEkC7c7j7cUNNdWr01aHvyHmfaibmCnPP5Ob73Iqt27au5ZvwxoHbOjTyeZ9garBW
G4TCkyAa/5wob0Fyk1Pbod8ETRyigID6IBjpBmE0j837CDM73TYYz5Gnlzy6IQJkwxLGDHviCQmW
sBJJ96nwVKGIOL71mFH73m9owUR/UQVtMWIq8lcpY/1Y67ylkJL70GM6y2DL5Rl+lTC9c9I6/p1F
/u1PYq0oZZ4CsMrsuwCsPNFD38hW8jKJUIxsCRh2pg5NG5c7lazIX8tYoc2+swKcx8GRRxjWYJ0J
34F4zi+45+qCfhYXDDTfAo2vU1B5B9fq/EeafmpNCd8IOhqyrfxJsd442zIwrJdgpUwnK2/av6Cn
qwuGGrQhSGoKxwkx6V5PdZinKUDjtovhBUCyFkAFHruVbj1fQNecMRk6ST9BL4SB3ftE1xrSDdcW
d3F3P19w2XIlZwcxiqB/wWm7F7L2ytg2L7htTr24fJoLhnuqVyQ32WTjJ++LhTNa35yIAaw0mwFs
IG69add4Nq+JXDnfPNnI83qlf9sXEHg6AFCMBqKaGsQ77oS8nsPygg9nHARKnKdKMOOCLw65Sp7s
lTmeXfDjIKBWFPmwYskbEulD6F1w5QCB+UwW0dnX+gI010GU/1TERh4pqsD9kCNdbuFDIcqmxrJl
xMOX3MBI72xo6W5ENJqxLyfAzczYcatKyOr9YvIsXnDrzkpej1cGezatOPZpJbMbnQWj/YJrjy7o
dmuluFOJx+/ix3DF1AXzju0EYEa30t+rlQM/X5Dwi7QUncY0VG5s4Llnf20yr7vVqTOt/eam0fbh
oL10zyhl2qlG6J17aUYv15J0mcYp8GKK0wMUr02/lqnzoeWVtIX5i3OA3gXQ8vbQqumndrocrX2M
UH4CchP4ehRR6DTrH3FZYrUvLr3u0aXifS17h6eZ7ywAzZCK/cA5mwW18Jzgop2gKZ5zanDA2Ukz
fE+NvAwC9SGaovs944m2N0ZiUUo4i+xDtZX3gHsOqzu3g/RqpEPksAAvx2JFcf00YQOIO+vdIgT9
QBaQ91JMEBki15mufD2MR1nn6gybKOPn7iaMsvMATLuXOIcqMxmgNgsGInrm3fWEjpsP0jd5LU9K
XH6dSjnNZon5m5FbcEw4lu4yXpz2hgx2z0NkczluBqDhwkhSWr3tJT9V1Yr+Jn9aPVeKEy9HOPfe
dSf5JBfQU57bGvcUqdm70a1weqjUHZ5x8GH6Y+UVJ1chd3rTED/DmI/eKZlaWNoiSgPxPpJ9avuB
SVxemsUtQ0sq5qLYvR+kWEe0vj8nG9s1sxvHsPtjnMT2bSKWiUEa0Z27JteKAJtZGID8ew9/qJrB
Z/Zp9zQLajZReId7QhnOF++udW9RpfxHt3G7b4I0KjaumNH1jVESHuoqTvVWlp4c7aY3nmlidDUH
ZhlFh56e9L3oNr1fpDRq9vG2B8l/iHwNCCkwppOoKeOJaJ88Gzl/2MzjNwFHRdk8P/HK3TnESt8a
tjp4ziPJNNOkdysxu/wpErn/3MW9AcqtJxq6qePR3TPqJN9ki+mmwltNCoWTCx5ELy6frcJK964c
0vtKih+PyyC7MsaEFi3T6K4J5Hiv6/a5o6IOVBz0jPGV4uyY73LRlY9tqOq+6cCcw3/ncp7jKrbz
oz07nGjyZpq2pptWoK3m2LkjRlz2wGBSPCD/LaPGw59qjR+0//E3BvT/+vs//n+ChA4ACV1+CP/I
BvxfCYqbz+94/vy3++bz+0/7t/Gh9Y9f+s+BofiLMZ1EIkSMQw/y/xajYFC5ZiXWdMX/MTAU7l8X
TZFJojSpkQ/4IOhyq1AoICdR14K853q249s0cv0XhEILVNq/xhnWkSVrM1kKT5okyf6uFCYWRfEL
h8v9lPex3JoN9lGrpf+W4bf5Gjud9eZr5dPKzuZ3neActK6YBXYn4vbpUylFctfoQTHtGWf57SRZ
8LyUXUCtesUdFyYLvu5XpcicUwpT+a8AmfFA10JsJ8M2sYznjxq/0IvnwH7nvRnuyBq+4uOaaK4s
R1LjdfGslrL87h3PvmvMIj0Kzh1YuZf41Kiivy+yKQeX4znAK9q8K+pQx5QIdvAGoPDNLQpJx/jT
Ny3gkRja5oegj2AV07uaV6h9+rGc3GJ5HCgbs09uvBRPNZz4YZsmzfBUWFWBM0OOOLoDLHYoXFLE
w0kohpAbim3rb8Pwe7hsuiQ7YBeoDdfc34PgaoiE5xE3IHT/MM9Z/S3BsyYHFUzZ8GpYKvjmGjX9
XtZI6VE0gS52FDzQ9JyOhrtPArgDAPpoiKdjzSvHq8Vwhp8u8rh0TohmHzm77nPlQka1m8h/EBIz
wZimsB1tm+oBI67NQ5X77m+qKci62tyZWYKjRqtNHrsmRR5TTfZ8aKq9lSrorchQDDAQJ55lWyXv
XFnVN8nR5msyW++2oP3T27W+7nYRVDwZwlwezx7TwAMMu5FSY6cpDvxUJHETh8BW3uqBu39SL0dn
yGh8sDp1bYMLzz4WHo5HuHUG2g83HijNqFbsnCLsFmzymzqaMYuYnPXDuidvniuimngBIf/JTIgD
yW4yMHWqrslaf/UFTwuR0kxtyX4StkhU+uS38CBbMiHgR/hz48V1Q45FFuhGOVWf5opWbKFV/qi8
8N9IGfOQW2ab2R9xjakWXz8Hr376bVsV4Ak1GEdQT4RicQ0dzHShZbsrguTsdsXjivcnaNLE144z
Ow9EK4P3hlroG2q7WncHEiM+6M7zsYgI4hOZaeS/0FF7gufCmbqNyyhWhZ4U9Cn3sPpoQk1zCCyE
k9P6qi1t4+D5C178mRaLa6bAtHiW5aOfjuYuqSypDzLtxAbnDOgpObw3NACHZo0VKuTU7UD5GcC4
72kZ8hk3UDv26WAxj9/Ah8VJmEyxR+gldlPyO+iv48mkQQnHXr/YPmK2SZMsteicOepgiH+18CfI
61mK0SUDpmG61jMtFiC1Rj2GAFHteE/dk4B6ZozWXdsklocrn9G7vXgNoxsfWF90oDZWvklbauPW
kW3c7BMH3M6eM7rlbCXEnpmmxdF29uM8zeY2nfiigZOUwKQ4TKpyupUargTMI5xwocXRu3hKAv6r
x9gfIdDOXmSNbx1Pl78xmfJQMU2ommvWiMUoLGdGgJua4pZjFzOqMNPcORF1U/opa6vZZ+7dBemf
cZjr64FcKi82YmG5mRcrf+W+1osQsHX2Jx+hguGyiJqaBk64sVvleHnLg7Rgpmp9A8G/7C1qRYol
/+GUosPCtUe1o1Iqa088mXgs6wQ/vxU08gFLaHlblo7z7RpTKY5EZ4PkqpdO89sO8sbYMA7QW4xd
jOmITyUsEpN4gXlivWhJLQwGS0vuuU9g6TNrrchU17A+HNy84UIbHYMHp4BUlMVLzPwRbbMNyV7r
KuSPWGwhr1O5kcU2sYx8yqBGp2Uzvg9c8W4GwjdvlZfOTCOcccYPTwMmvkISVtiVph3rkDJopArG
I7e+8WYIdHAPwRPTiZ9CNE8Nd3pwJhrUZVyKR1qCwGKOBL0IbzGdOUXYtjktoQydLD0n564DNOkY
yDhWKew38qHjnrsP7vsycHFTjrgtC7bIYjcZpgnke8jJZIkp5dJqKBg0FHoczLkPruuqM8IS2zEm
5gqZJZZlfWcwvPjEhD99EDGTr228Etn6gYaRZoge2S0T/6ABgz1XVjr91jjbvomJjc9jU4z7wSmf
ApalaTNqLwApPlRPKY5qAN2k1K60xj56wAmkjlah7W1BFOQwlCVIXEd28LIcpOp47+fD0mza3H1X
wOv0tieIcc7c2f8JCGNtyqSSoRkF5jpBKj48ryAGVuH5GUmY9PYuH3IfuHheHZGCKi56hPScVtvE
CKuOM+VM6p3FVWFwA2F73UcpfcyiZCp0PRc2mM22WaoXurpzWpunYs29DbU81bIfzlkWA+6suPY7
NLB0yYfDuB6mxGzfpDoL7sqGYjJ42/4XW3NzvQSqfQe6i71ynKb6qp4ydS7AO/NZAJE8OvbUPIK7
WUUXOr3u+CwIQWNgvmZWi920H6vlUXiI9MgpdbeNXG/feukf1xf5i7viSsaoSLpbvr3y3WSIskU4
MQ5p03FHEuh/SVV/kzVb7mO83LecXCbmu2VBvACnkw6MlQdUoRbBL2+4H1UD75s32Vv6kN0Hs15t
FkUfzA9Wbyz1U9nmxpWQVfMhrJIHTMl+weJc0TG+HbGejkQ42u63qwdJCKweHqacdPsJBkD2qxqV
Uncz9BpexlSWv6ux7b4imzHJpp0qLEVtG5FXJwwUpBAtBu8pkDNufdvJvasaBSzeEDDir5zYUZn4
3VjMTMPzBlyvSRk6YALiDeXZzoNMqcB1xpaVmS/XosOqLbtdR/ymQgJAy605mKHJOhPlM8vY/TiU
9epNNvDPph33P87YDad8pBNrdBvvysF48ZBV1bAQkkIPhfkzpC85t55DrIv2THe9eTDdyL0KGo/f
CNNHjp89z+MwcFs2G3y2A8Xq2cAnHCisfwsqzoLHJi1aYhWzvXzqgFLunZ5spj6zEX117QQvpW2H
UvHGSuD2Ylq9royWmzNfPDNqwS8vQ13UJSEMDwyBzvzlkYNpvIUPSPeuTHxF4rDPkTb5PdVBBGn1
EYBv532zy3GPZSex8ExR/NA5un4vqw4GGSar8pPQpnOWaC6fdt+3uyFizsMBz4jOqtKWs6ktfM8e
H2kHf2CZwxTG3FvnK/1FB5eekaWpLExQl8DP4rB7jKt5WlNQ5XMV9Hy2pqnwVPvJAISoRggt9aLs
HeUZ1T2r/rxtGi9Yjhx2mPmbTE5fIitf152RZbIVwYD3KLAKMg0cmlCN07II7WnWH36SstX4RrDc
NYV25Lbup/6z6ypn58XpWt2ts+zOZg4pmYkUFpPtWSKd09A13UBJw43SYt59UUsXPDNdyvyQmwAR
5Tk2jxSkUL4xeZP8ZQbOED9lUx/ca0n+EL3J9snRGmwfa7yO9Bg7M20Ys3MV5xXU44T79RGCNWw3
qggx1ih+ZkczCYaD03Wy3ThW4z3QfmZAQIJp9uSy6wAZUv1rvHTJkz0L/36cFee2mMjRQy46Z9iD
GnCQF0fDnDnZDy6VF4Nyn8AoJnfpsNBiYPrZfOfYOvvCN2Y/Igah3bo2Aw6mJg5X9sExvlnxmDXl
rYve76d/8H3TpVrEzguesMraw3B3H81+dD8oWyDMFcRQXJGMG8omZxJ1sVt57xm1VfeF2Ri/K8YH
T+bMqPgs2q5YqcTeD61ASX0NFLCKqEdxim8bO9vrMk7zMV/y4ezhpKf7zovNNDS9IS33LhbfeZuU
rEJHrWnSRpkxXlw15wMjz7o9YNfozgWzjtCbE5OYKJjFnTX3TQ80JM+vTBqq4xDBf35bfAyfVZwy
bPTInXnYKhNId1ZVX2MRoQHHUEmzG0tFo4xqEaeK/tdkwsWLmKhuqYnp+SBCf0QVE2m2pvpqirFF
JU3NyiOVfICZReh+FvR7JfNYbUwWL6IL8avILB+aC/kEnkJsbW3wU3ny2Lp2c5pUpLBJdPleGqC/
/DGGDUnm+09ELvSO5Dvr3xwYgAAnbofYJvCCdEgUHBHQo6fBvVVBVd1PYFZOOq3bPe6N8mi1Y3bW
yuu/xqyrHzxjRmTCIYEKPXnVM85rtXfxxh+Bt6sPjjMtwZH4MSlZmtueDzovHsZ8ZjMbb6iic+0A
UKyDBpa76ttrslfs1MawICONX9weupNV+Rhg2IlR38uRsYvGtoaWhFyfp7H/gdfFUttSu93VyAMS
GsbcnBstOg6LWXoVtNnwiYHie6kNzla5jNbtlNtYjep/cuemIbMpFurAlNqDv+BWm6CE3sC+Lnex
59ihLpmDNgoLHp0d7kNXmAg7Gmbc2dX4Lky6MU/U5eh06zuNeecsWGFyI3Wv7Sp65rF/cKU6D1NP
k8koSQVmzMKdfCEZxki2tdA/+DpJS2WKuga9pPFNbEA0CdO5z1+JIJJbVGgX3D6ReoNSv7iM1T6T
OpvuUXWh5ZvYiW7mxfWOrgBKX0VUYR3MqZUsb/jl32GWwA1um7sMT+Uhartjb9mgWcueUT+iZk91
YQMLBwLWLwrbht/10t4UODjObZ4WW2oC4HpTOqp+E/IzKbWbYBf1U7Wf+xnXSGeAXCGTtxpA+6ci
5v9t+9qBGyD6vaYKQPOIGs6pWApxW7ne+Az5bdjiku3IfOVG904mwrnqLDHsyqJnSj/b7W+/JGCe
B950doJofIqUk3PP6cz9CD/62GCa2NuG5b75pUbQK/FADduhGRZzx2nkPudp1DtkM8SsqreKnTY0
FpMq60sC+MLr2MItHaPhSXT4zrBR8goOT1vQxsOPlxOCf/bURAmhJcqSm0mHfN6xm3w3whhtZonF
dEyXpPyYVMN4orcF6XZ692p1X4ASeo1wL3H8xvZECkJ8iNhw70SaW9/w5CuicjIvcN7yPZx6bjd7
6jS4SIDFT14zPY0OwehaEMmq27I8Tkr7u1qRxoEgp5dfQ1w7J48J0GnCm8J9YbLLe3KGwj2uA5JP
5RgWk8sFD6UcJpf0rezYw7qyM56sdqbFcxyoAJl6KDm5130y5GUBaK3iKJzko0mr+GxTnFTuoDRl
W3NkzsK9LifGHlXOs/bmDjfzYosbBXi/Ja3RpM1OtLCnDx2+dmNvU+wJVHZN571iRRLmoWbXtEn5
5euRUV2PI10nY5Pyg+iCHrpFCxRikw6B+VObE8xiOhXezKnw8GzPdkQiDm7sr6RMmismOCW2z1QT
4xNQPq4ML7WL53EticIUO7jXBW1A7bmKJ1o4oLJRgjgaYzgzlUArgblc6CLYaa5vB5vhnMeKlJhj
aMM5uuHS2XxQ3LNU+3HEdJSpdgy5mhnPdG3614a7tCFHSJqcwJ598MolzS1LvivPui/SOxww8itP
e/+NyQyxRfYjTtK1cyizvL7FT6K/ZKNA5eK2s68nnBV7K4jz79Sojeio/TShDC5uIEVYC3E+xuJF
43DiY2BADEfA6HXr0bHQLuvxJs2w63It7BXziJy87sYnUk/ari1BXtUoBw4hUZJbZzqdcYojZPG6
t2k80wSGf8Y+ttzE0j1xGD8/DN5gbpvM6bxQYn36ZQPK46hMtQ17Do0wzxDXSfBHTCzvSq4v/NsC
VmUYFzyYG/bpzL3SxH4+6R0ApdbHCt4KGTtOOGxRs0fmboPpfALsWa8WYat+cwvL/7W4JUkAcn2o
H35uz4TpyFaGI/HWvT93HGFhhTUnTuKg6JaauEQ09y3Xu1KbGn9ZhxrqADH7kHquD6Xbu5S1lL7k
0kWx5L4jnL51Eh/tgvmHsU0FFdQumL+SVV74v9KWds6D5fb44rVr3xcYSo95QaSIJ9jOH0u66Y90
XhOKxUOmh1AEirIb8BHInOkamWt1wUtS2Oiyu4FiBn2IREEV52bsoqI+pcCFIUqiNxxQkeWEdyea
3oltUMBBULJ97WdyqAAdJwKPo7dmykWGyEqfzswAjb766LPPY+uZeiGCkbLzXc4JmbLPbjtgdCIL
kn4KYhDMLZLJsPb4iCjFKQYwPFeB1y9vAOu5dPF40v6RwYV0rI00JzLJ0BIORSncKwYiXrKnQLiE
82Lm33BMxA1uHvwYebbGtorWa9y7pFcdjkUnfdOjCSa1nyPQHCOVni7tSB6iFXwQi3wvj8pVN4OZ
Qm9FbNv0gwqe4YZym58Ey8/sWulvpHjSGb0QWlyzTiBhEcKseUAzGo9O/qSb8qD8YMByUwz9ssVV
4n01mO5fgLnBjc2Sgoc6E4z0Vqr0TDeMy+yRu4CR7bK+IQBNmtBWn4h6Hk1+DbNSkhb+LSAwuBho
PpoFO1X05uIlwzyU0R1rbp2yI2CWlwBPN27ca3M7JEN9mxb56uQkX/vuRmm0RR3s33mTGnHdmGZ/
ULVq++vaFDjeRsOzg61ht+o7ApERA6btUw57UQlZgm2JdWUqp7x4wdsqr5agWmhh7TvthiPbpNwY
bjAepAtkxBAtUeahNudrelxIhnCLNFRYN5MmpJtXeboT1Do/ECrM6gP8lJIobxa0W43u2e8G6m1u
xola+LDp0mWnzZS4yoj/nQXVDDqJFYzPsIHBsafz2Oyv59EpdWgg1y5hDtc/D5PGZJjUei7rwBIH
/m27dJzuc3Y2rmBwOuhpT0k6+TZdZTjVgG9uzFExLJorPrAypja6afvSifZ5Yf0MmeE/Nr5nMXlM
AYdIo+qQy+IUzrET5zVI0bxuyl3Lsqk2bqeNB8TWxX8VCX3ECto2F5gUjLk/WoOx51ovkx9JXOKD
9mmceSk4R+Q6n8pMDq6aIhkvecxA7RzpFYqHfQxB/rUmLHle5kG9pkXMSZrQfHqf6/xXbdjRrkoo
izilbCK7aNUrle5oJO6nqPxE0DG+q6Sen1OkduTSCp7EBvRON58B0LYgWv28uOUOOfnQZ9dZdjYE
Xxzmmt9m6hcviznhb64gIpG+NWKKGxCbwo72FA3VvbdRaQEUhnEu/1iGHjEmzvZ+YqBwZqQjqel1
+vvWnMWaAK9sin29cTnaPLiPnR7rx2ghxhKnSPPbWCjx1OiWNbsjwvicQdWazrHu6/3CfEXtl9Eb
4rAwWiZRVt26yz6SYHOOPo8vXKNqsJlbQpBMbxk24LTBK4o9qoYK5h5bjGLIMzGoO6JdwjrBzH+K
9do2hcf7k37BnW1Q01mbwCt9jcfnC0EG+kSgxS/OZJPD3pbG7lPG1QRYUkYkNmlc9dwIy3/mLAp8
xQxiaplMpCjwlZnWb5hlqx865jiL2g1zgNBvzeKPaCn6DImt5dvSnRj2E32i/0dMGC8LFnpOlI1b
HP5blNeb5KvBOPjT/V1rvWiHXxW6TwJ/6n9SH4206I75f+uz9PV+trRw/S3G+c9f959pjsAUgUnC
iXrdv4mz4i8ClPDtLMcHMUcA8T/jHEL8ZQr+BTFPYQeedFF0/6nOWs5fxD4d1FlbCNe2/P9SXa9l
Ov+KcnSlL6VHIY3tu8AcvX9RZwWXmqkTxrSbu1oMRxeNZDsRjcCyF8sftZ5Yw67wAns7Besw2b+A
A6wLQ8DwjASXdsrzXbJ2/yrwhAW3pKUwMWCLEl+2dq0VGoHjY5I405sLzSC/kA1oE8vrB6dJkjdD
OolizCHH6kGLMm/Z/5IODpAsia81pRuJrcxH7JYpSQMfH52bgdIZ4GiseEss2P+AgnB4Bo4GLVXd
Y9K2fig3w6wPBRUMU9YHJ70yH0QWG+K2pwsWNSIepcPbaOnsbmzq8dq8gCSclSlhoUtcIe44/rZx
6MC9jS4YCjZvM3v0M/GLlXq2DsyL2GC0J6DsjBFToymJE3ouJwIn13KgejwsL2AMAd8IMvrQyjTU
KoWJ4RuFu8eHBldjFg1HpHFIk/SOVAtoNHhhL65u7WvDtGcWsNYf8qPhqzG7aibMg9QJUz4GSFRS
oTXTM9ZuppUUIjorI/xtyhU5DVKE0h2OLStmhKFUdW01fvwwrYCSFlKJ03QwS9opq/otx29nx2a8
Ys57LPSBzBM8LuBP1KCa+4hRcXVy8hpuynJhqLimko8Z9Fl1s4qzEYSxXgYbRsQ2U8h5Mab9WLmc
TCLX5LYhcWIbV8oDxxOa4yKNYwOE8K3xl7E/9LWKhhsCEHMAK3RlxvijcO4h6ltjmPhRW17jHgcA
NwQ5kLsKDPkRbhw0mhb4X3AyUZVrzE0FGBmyVf2wcwjd4lz0u26LA11UO7UI/h5tBAROS/9ztJ+z
bMhP5owDicrWgNqi2KtdSudVPZHvjY0cPRbUTr1Cd4q4Anekmua7whc0XfHUQWE0L/ieoSEnu3VW
f3LcmP1JYSNUDDc8ao5Mwx8KLriMtNPUtH/XgdVPx9jCGERrgGohX4GOnRlsq+rKHulrQhdususO
CfChSbx7hBv3pW3R+8OOfpETcdP4yh9J0TBOKWpGAqn1CDCk/ViC2aW1MqNCVLDFogH74ilqBhza
WPg68Zw0CtnZMjP2k96s56ektJfvIi6Wm8ExGyoH+iq2cIkr7GBTlYlxR8tAPRwXUxU3Aaf77jgx
Z9JbMx2Kd0Yh+i5IPVNvm6CmTC4yg6wKDceWz4SmaoKWosD86hu+3dFwWjrXXM1jZ1urmZMNODdl
nXubNWHTqkLeNDVD4y2TuxktNC2Sjy6oxLTzZmQV11IYLqyaa8y2wnyBE9OMXg0MrYfFG8A/TlX5
nde4rPOGNgQVyekNKbkINVumd7B0U7wjbfPe1DQv3sEDpENaFtW5NPPhmaRFyjFvZn6S5MFERau0
7/E6w+yQgZ0ecUAVuzKxQCWn5iCKI9cx+WIVWXtu51F9OJkgS7V0XR49wBX2QMTY0HkOAf3We6Z8
8e+pNpjlM8EDSreYJLtwZevnhAjwCcaDTDYyLytjAweRrTzy3PwbFH5zBYU8oIli8pdXeJbllx6q
ISDEYk/A5NlxgEhlHrp+PnJbGtR4G+vKOEVSrP1eqsrHp3rEhRxiUoFzEQOAaKHfFRoUi4jqq8Gt
8/4wzbbF1W4x63Sb2ZzFw4Vjrhk6pm7fhnT27uBGVGEAbPTDUpFXvvjcJIm1TrwoG/yR9D8bleNs
scCh1xUUsEAaX+yD04w8nvHbkhjm767PifRQgAWRKmv2QR9zYMU6i6xRFDbYHPQGYuSJPrqydXhH
Awi+RN9Vd0UYN0DumHqC6pYkYzVIHT0Ws2E+q5lLEa48zne70rGoDKAZK30gLwTJvDcFgAvSktI4
y0Wkny7FksNRJZhzb6QdLSH2bmxtqWUXOyZQprtZGHnfQ7VXz8Bkynw7qMmiKtlOIOdbDgLFJnBK
xsgEH8eXgKQ+QY0Ej+Km5SePN7iW7gPBH0NwoygLEswUJddbd15JG8KJ68dEC9rPWRvguYEucVcP
AyeIE75HiaIIQ29XsppRl+0l0znrEvPIw7wYAA1hv+JprZNw4HxAX4mRNNG+005wLPM0+XanQL8R
uK4ejKFLqPjSyfLFmTNvNkhIgnsYs5pqy/+iK8KhT5eTVcosO7YOx/tNklBojnNggQ3v++sPgdYv
LjdZkd632TJzQGhs+5Pz7YqTK8v6eQb4dFOZ9YjBJ5vwTMiMpTXosZRtGHsVtxPVoyQ34uF1nEHP
ZDPp671pQKxNC9PHXO737XCTBcv8zCTTJ0yRQmki6dzo+jhROvfHG+V8ZBRr3UZjzOWwMkZCPsD+
R70pR3IfW3/wfOj6UxzdyTlFAZF9Wgf3s+9CejFGL74x7CZ4x8vvPKTCOOuLj8bDUdOv1hrr4rKJ
VsONzSK3jS4mnITxPSPf3+lq0ElWq464uHYwH+HgUWLx36BR2z+w/iK0fqw+wBpx/YCgzU4mcYMN
a8xKsMEjNMsUk+zYUzw3N0VKORh3NkOX3pWlPVMchtVxVKzeoxxAJ2qgwpCkV28SoRtsSgiWIvQ0
BTiTF1F+p5eooVQBb5O82Jzi1fHkrt4nt4qX41SYPeRXxP9NXI9QeQmjFIdUVQwEcAh2hy5W49m4
mKtMd+x2xJCwXGG59m6H1YcFwkp9y9GN3+N2fjYudi1xsW55q4srWf1cxcXa9b/ZO5Pl2JFsu/6K
fgBpcADuAKbRt2QEe3ICuyQv0fc9vv4tRGWpskpSmWqgiezlNI28ZBBwP83eayt77lorziLIRuZk
dHsra9Qnu2OkCSJLDO3QIRUTs2YM4IVzJdiImD/CUp8S0IkfWBrr/M6Myu4HoSTiM9+ehWiqCRCl
BTeBmjSmeMkerUjXSOuQsOVWPHz6Brq23sIy+5LDtQy3Khf5dylNvboSIosgzoiQPB6sm1AudAUf
o+/jX2VAjJbOZGpMQO5NYufd5HYa5Ry4uZsML8vM7rG8ifPCWANEdpPs5Tf5nomQr6uLOD9I5tGs
Zt1+vOLRB+doTsEZDl64Q16AHDAYqmbLmI9N4k0uaFsB0sF5csEqy1HNJZyqYJ9CsjhkkRZiKerN
ex2PBdTTpodgPmAFxSWYrBEE+tzl1CDf1axixCsarEFJGCsb+SOKYRSPmpYhfuxHNgZ7h2iV7Nd4
E0hy0LpPxHdb321XmsXCt6rsvnXr8qUdQBFGN6mlSUzXqTZyO1kijUbWrFviRVGr3dWNxM+SdD5j
1ltfKW89pj63m8NYFITRxYX1xQWZrLiy6EzBBpuvjVf/Mpg3oTDvEvpX34iLH5RL5au49bcMgel1
pddScGjhmL2Ufus/9be+2FEEOOrUi49onufGuZibaDZJ5dK9ddaNhdDcmtttQd89UJP/EsOkli09
eTQ355phcvI3t56dRTL9u37r5eNbX58ixY7uwlu/7956f+02BzBuMwEmAilRYrdZgX6bG4TzCKG2
S3M4tvNgob7NGMJ53ABrn8mDYXGVBygvH6qx9h949qfd1EHhw+/CNb/Kpra9hE5oLcnrLI56Upsb
Yx52hEw9rNv8o5jRaUHlRHJfR/UYvKZlEbAhM8iAXqRFRUU4mbo4F2bZXqx+YBoS4W5oCY4rMe8e
dAKF1qaOmRl7LD6oPiw3bQ0gk8mKXbkLMyDrpRzc5qHXvGnrs0R7K/hs98yiq3hpqizOkfW7mlqx
MgvDta4CJKKgS7R3sDutdmBiD066NVP7uTc7gBYoLARpE1UHgzdxbOa8XLR3vjU3ZzgEY0z5rjs8
huPgJZucQSR/Qjm9kwfffxj8FGoVoZETS4fPu1hZxI1uLbMaPjDyQ+MMBXZzZPv6EwUuJ2w04Qpi
Fx0cyF4YfqdeOW7UaCf7SkBl23Uunn+aBsc7sLnFRZ4TcZYI2pkVRQbzzWByGTpPMUosJrJgb43M
sowlSK41AaCAsVz+Yg28azOO1rzMomTOG3efvL7qVMdJgzUZS0tI2ZH5O4+tabHqgmTT66VNQgR6
t3tDpxgibkcPxaF2A09t6Ih10sdCLaKror0hu0qS0OeiLf2QDRcYPrqW/pUxrDUjdCGu0Ci5anwm
yUhYuGJMVhIhocvfXVnJfRdgDE6HDN5KIKtdXHDMT4aJ501CrttWcYNAK8N1lkrHR9LCNjBbIv1D
EIUitP6wtNK7921kYkpUAQJDB22Xj3mCYPkoUdepavL6UOYGcLPa9RQecT9Ta6alDMbb3odh1yG/
I8ohgEDnFA4OEr8J3e/QNZ1Hxr/PwawmhmGgoG5myPvSYrI3APrQqcW6cxhZ/qJ7IZW+YCZ9wc+n
r7Dgq4pdv0ySNc7K+qHyesHAq7VntUJYf0UNc+6Ni0ebfMYmmwWEQfNdNFN3D1Ge1WKK+Yxhau6z
lzFQcf6yml5fkQ4qsIBaKK5RfFDZh+oEzVtd2ViS1B14/RkJ0tG3XSCTiWR6hfqn28WW+qrZHVxi
5ds47DJo7AFdklHqODYTKt5Oma+owr953EDI3pz6KvxOujDd156ZrpLQ4fOOqJBh3d9Z5FUcUlnz
A3V5cXG4hjdhU/kf1BQpS5dwVI9W/Es3pMQT580LpwyTx8gunnQ9uY/Jwnz0cDNtKweSJgfnikQk
cyvI9vpmlyx2nl5h7Cri3ZQ5+KlUG0erYiiyTZRW5mMlxIjEydGxylvZEfJb/6utCkh0XgyI0m1G
fdglca78NYdk/zVhr+6JDBAl1GjpHJqYqL8F1skoWXa9Vv6SsXLG9aRKeRrBfOzygZo+Bv23xTzX
75BU0+53RXzpHXO8UxJV6ULiLj/1QP8x7xJM+nuMauQQMRUkco/UeRqlUqfRwGin6syiJwYNAGNK
XxlU8r8Tbai2FXCd+TJ5K12w/gvycNpzrThEG5wn0bIAe+Jt09z1d0DRt7AF4m3WBMNCQPODAqiK
5plyt2RAMdbFcrj1HJBXVyVerB/HDFy4oMgD4YdO7wId+ENGBDFeHmROyxLNO0NzvRXLUHJcMrnZ
yjzZ94ZfbINEqPs2tgS/0OBoS0PmGcWOlrKub8EL+nYjEffSn7a2Vb71lY6YfURlrEtbPiSuRWwb
Gs9rgsYF2gVxqegU4rcyMfU3tpbFim1gdQeMUKyZ+hsbdHZk5dU9yeko4Klo5CUoZ+URQXwH9jEA
MUZyFAf7Dvxmv0S+bB1HaYiNNNwJYCTBdBliJ3rkLkRD5mvrjst4Q1JUuIQ8n544qKI1r4zzyvpm
pkFVZbnMcNYtkJ08QblHYxXq3fCk1FBvetLZeD7cVt6juHbAREdqPPeJ1q85ccdFTs7bZmz88jBN
fmEcBxEVxLvJHDhvUL9ryLaepCrJMR3KqX6eOpdqz4/N13KI9C0aGJ2/6qTvCsXfv8r8Zm2j0fAP
aAYSUvmCftVJKYutNcX255Alv8BRh8shF8wLmin9jVjK23I+5A9w29gyhZ52Rzifs7Y8dNsRFyti
iQzpRlDk25nKsUQTj8Ause8K6aUCJ1YHtcZlj8Lh3MvwSK5Btrf1yvmtN+ZF8yi7SZyaKMi88aIs
4mQHqE1LgbwTi3HH/EjLt8EQNXs1TMymxnxSL8pI5buMmffXATeJT+ChXTbFFjN+Ai2UwhaQthw/
pzAxn6Hi6z991Wr0Ay5hbMAMIiWn5q7Q4Fyegw4AHd8r2KH+/iqlMOo1y7hhR+k9/gROlF7iWho7
yNnlumIRPl712IMSPRJk4pCpRsJRHVBJoeMx9p5O6C205BAip0PTctXNFD20hIUHueW/1wr/N+wo
oQvDsP89MOr8K8PXX/2VGPWPL/vbYsG1/rAtJsEmAmnibhji/x0T5Rp/sB7g6uJ8NWaj2D84UQbb
A1e3kZFbwjClKdkG/N32Zf7h4IqUfEcsWi5Ex//E9mXc4nH+wYmyoVNypgjbkK6U84rjX/iQ6Cqz
QtNjdxdVYbpD88nRGdKTNUCTC8L9/KX0BxZ1UbYlK4Mcg2AantMa0Q7N+Gvlu+VZK1Hh+l46HG3Y
gQ91Z10FM5VFTK+9EL0VMt/NARynNR1SUHkvluGk5ybW9nXluUurddpjEtcPGjcaVeQQfEotBtqC
InJpdMmFzAWc2oi+uI9qRVytVbbWRrNDzspC4khFlOAsB69BZtmPJBxE1oBimZz6JdNgGAK6B5YY
UOFOyyB27dyamhcvd/AWFsXveNIyGx7GrKYYwugDbfpn7xr6juHiXUTMFS4I5Bm9kzZkaFj1ikyY
H13L0pXVksQ8yF6RA+6lDxGasrMbyx1Og2RxU9pWoYRKURE21pWhzjcK37ohAqjR4NBfaBlRHHXd
U8ZKc08kY/QS2bPGF9jIpjJSkl55RBCcYmR70Pvou5e1RaSRR+BfMN6sJZBZWDh+AMpHuFV7Wbcd
DQKUsRP6jx2uicbstceutZMraXPaFoG3R4yn5elX2QPLoKrtg2RO2Oj0pajm7wnoj8FFXMXmIk4C
PduFDWeRZwzIVjCWNBwypEC0GnqHXVIEvraHz58c0Tw10caDQBUuwRzE0DgjD+g0SDwXHV7dvpJe
4VX7ulR1wLw17A4lCmxjgUy/VNwPIwNo8hJgc0V1kVjsSS39S9HQvdD+ZMgB3Joi3rJLpl9dmjbE
E2rAKkHyxcxlSgsEPzhViTC4n1zGQkxK3ppaVWemvYhgRB4xr/GFZ90HfpaKVdNrYlHN2nzG+DQV
btbdS8usxXWMG8xBLqNTdIiWnUAatwSzb7cSff8QsRsLdsiF25J5J7Y00qoRT0FXLI07TeuzHyZ/
6RFKgO+vG9QKxbZjP8TfnFn6oanjkkRoUUnmQL17rTt/T9VNTSx7D9kMNFQkuNBjMEQCavbXlnnn
6NZbUtuXYa5sk1A3lnVY7YKGGSfKzjNQMaAvZv7Qmd2nV1iP0A7XI9OcOyr+nUzjc9q35SnyvZUZ
55gazypF/g6SNWbAz+ADLwF5vb3ExDame1+PzQtaU+03j/MqJ2Xb7fSL0YTaKhucq66XxSbvh0XK
EbVhqVes+FV/zOmaNt2qRglIjE3xlmpGdK11fV+oIMQpUSGWDWz0T3WkVnmsfVthEj+6CMwWSquh
io2rmgtuUfaVz8Pg+LtE4soi2uUJ1n4AwIj1f5/AhMHpxUpRpUwwR+a7Is3r5TghsKSx0n5ZFjaB
0t4OWR6sJxMJSFfgvckcCLNlbq5sC5UtYjnIGp7I8rMeRurDHf1HI0nDFbPddkuUX8ErE21QQzor
YaLKbJlSf03WVK8rIoKEM4BxNSJiRD3gXFni7TtpP3L0nf2IRAyzHI1DHDqbhkUdDH+kziPZHWDP
tmnhtIho9G9Wq+wB1fgbKNc9oRM54fGW2gBFfSJORvzuGyf+ZLD485e99+Vvx/r/AMJ+wf7R1HiE
iVb7a1qagwpVCcYVwkBD6Ni2Pf//v+ABs2IA2BAKd6f5BTnoKSJr7G+ZWPlDIe8DWoxwqcH0L9YS
5/kZa2T45kezmn/o4HotUtUHnJON4q1T4MkvkUGHu/aHuEIlR3NvQpOPUX0TNju+5FUmvjpYSRbi
tJ7Vo10kNslU6VQpPAxtZSyGouoOscCDuA18pVUMCySHRVZ4x26Mum4jb6eJdjtZytspU88HzoCg
kmE76E1jx3vZrYKKtppVAulfThBHD02kjfYiIR15T3HMMdUr/4tlSr4wGn9TBKo9JR61saubm3Zu
E6G4nXQme0epZ0eDdI2jyXplHRlwX2ODni4FsY+CD6Bi15oPU8rCAXlefVJgV7clC3GwQg0RZnlY
r2ZWrpmROmvCLP8tnDx7xqaQr0szSHhW0edl2zpmxbiNUCm3S4XgfguKlrdF6RE1uYtXPF9a0Axj
5jP05Ee8AEB3ImS4mP6M9eAqtpallq4AUmQvQelOFww5c4o3Iqi8io6I7qxLa5FouXAYErxzKACq
Km0QbHlPwHA+57Cw+CPKtmidbx+w6ZqYnCvoeOOg8HqS3ZVG4sygkXwhNwT23lQNZgVGpVN4Sh1D
kXmrsXYCPrtFuGOhje+0rdCSBr+f4TFj8v0vGPe8rQMjuo9RcnpBgDTuAdXq17BTRLsI8WlBk96h
DU/XNThEMDppdUkCtm2hNLZJmo8sBsVB79Ey2a3WHXHdOCs1VOW6D+pqyRo6rBB0ls14Khr5RoTV
sOaTe4XjBYY9Dj1+E3dca+w4kOeKp9Rt8mXMfhcXNi1hUmzdwfxGK9FvFNGrLB8yHGJocYkCPpg2
gQIiOkHlO9ap9+r5EKkxqOH++gwFzVTu3ukdoRNjCxt6mFo2tYO4i0vzd2757jluGcULmpGNM2jO
LhfNL+nU9SFwRLesVRx8j67bs+Nz6muaG+O+ruUEszN0FmkKkqzr6i+KRXJKpPndWYm70ZjyopTw
nVUqwvBoRdr7FKT+Nh11cYfy/BxVGJSIgjbWWaaNK9MW+QYEr7cscRYuOllNaHZbpp44JdndHohw
gMrLlpIqYZMXdXOeClGtxmkct7ZVkBMyoNvyvQGOhgj3BslIJ02MiuKD8QnyTXHFE1pfUHSsTbcL
SbWeFzCEvCTQPOzwgOrG6BeGxjAVuXW3NlpR/MSdjyIlVvkGVx1EQPofTPPo7Y0QdzX4yGhb9gOu
0KQ1xvdB2h0gxmE0Xu2xZdbXVan+hgwG+WdjwaDJwij6CTyGvovU84NlhDIUk7gx1MVWm7W/65zt
8tGb7+hqvq3j28Vd3C5xdbvQTTvxEZvdLvrudulPtwIA1QPFwHArDFg5UySouV4I5srhv7ut/6Db
Ap7/fybxn3/7ASj+8Z9UXH/2W3zhn/0WaH1OEXPWbBkmzPv/yeN33D8cwZBKCdex//w/f3J5wWzo
UDRc12X6Ydo8jf/otyQaL10KNHxK/o3A8R9gNoy5f/xrXCn9FpQPU5Kl6ljgPKx/uYBbD32iJD5w
VzHrA3FXxoChHBMdEr7vMPgeYmxcjcI7uwelSKK7GB1/rXo2oBvf9cznElbCngWeonxTMWTXNNS4
WWXfDOUW4qz5PFfKRKL3+n2qabK5mDJT5tIeXAcyqGVFMM9z7EtYop2yOOlaPuzJ7sPVJX1eEmxj
/lMtba78joOc4kdoT4hhyDtu7fatsDDUZgR2rDHgwCHMnAede2TVmZBlRy5+osKRlcVECn0hnSh6
1lc1C3Z+Wf+kRzU5lBUZUCcZUOavYJSDJWwTh9lQku4Qnaf3pREaO8aaAwb6ydyN4UgDaZUuxu0R
NkKajOraBwAOyElxtj3pKefCSVycSXBwYSvra7NKiUFtXdrHQNFCWkbx0uVO3z54QLnJK4DkJ0g3
mQeYIVYM+MemTknnhf6hR8p2LTkH0W5jFCYeHKh+DxCo69imYTFgaZyVg7+q6QmIIdVMqAKMU+l1
fIGdAwoaNLMrqdTueF/5jsquaAo1dMo6vI1dHGkg5ILCERNZacxFD17XI9rLoaF367ZlZLSh4AUK
kRilvDrEsxgbMRE9AajDILLEaFEhLcyp7mDFo7bf2o0efOt54dvLtEjdbVa14kV6UOZWvo57LI/q
H5Y8xxY80cVg/HzKq5HcHlPXdhqBWG+oqIdFoHuXfmDFzbiWlXgzpO7ZrPpVOsLXF2Gsb5SOqiZP
POreUur9tgbi+G2mnb3LCYkKt2GHtXaV5KiMmOQ6T9KOIAiMdk5tj5TBeUyExoCZqDkaxFDOOO/k
kSg83O4ADRb4gynzfTM/kKSQrrTaZdgdOgfmk7R6RMk+eQh7NhDX5EGp2ewSadvZKXmPPGEZ53U9
r/CJtRCqvkewBJ8O7h9YLLOlmUxAR6O8DwAolkCU/S0KheQkCYhY8b246dIkPVXgSrCyR1b4xNPa
HnPdFDgzjXzs8SSG0X70iVpd5EA8SWBTi6Tw0ZB1fXzvUve8N/xt6eFysPZoD4aRbVE/DPpigqOB
uzfIuM7tlyEM02s55tu8j5J16c45rFEXfkscXGs06MVj2vr11g7aiM89GrcKN8C7jS5+n1CYn1F1
/wa2CPALjVW6dhh77GItAhxV2Vr8Vmi9euzzEZuvgBf5UYyNIEaChfC+T9CmDyysV6GBa5TQ3xYr
LJEDeok/ZHJtBPkDfrYUWsAmYbKL58ZPdomrsbokd1326XBWUm8ZedfIn2o/uaAUKQ81QGV64cC9
983SI96885r/N1Sp/++0zdxu8xjw38ubwymvfqX/MoT888v+vBTNPyyTGd8c0Q396C8TSINH3CRh
w0bCzOP8D2mzxVcQ+c1/JrefPfPl/z6BFH+4tJDS1R1H8LXqP5pACv6Nf7oQpYUE0DWVARhLMIKc
A2z+0pEOhEAw92Orl3UWHOw4KwCSlukWH96dWdXuPuTdYoU4LEio/G2w8Tz7kuCTv1QS/5vO2P1f
BqHzz0HmvS1t5rUWXKR//jlM18cCSVjcjrDcZNdgBrF4D3Iq5fYUBEer3JXqAnviDuAI0AZJFpTh
e2ei+ppFWZlPbWnjsdhN9csU3pm0kGYErTJ0WON4DbQIZR8LgRCnp4q1ZHMdW7oar2bqVbCp19vn
vo5OAEwRS2RrMAkXnIL3fewdDLNAI6w2Xp2+Wql/j50TeaOMn9rQrNaEsP3CvZuvgCOqFdPQAX+t
XxXrgX9oRd7gaEEMfKuJ+iIkYxN74y7yzQtyGaZpM+OJD7Y2zeYNSSP5t6xxNtCSFwhpTh1zso0M
/OVonHMtpzUyad5emc0+sGZ+pPU91D7kZdM+ZAGR1ZDgdbt8HAb5jsEbC+MQ38E1o+jwCcBFkOrs
TBlCgkjvUBMf1CB/4yHcOfqHVuvP81wHKvG5ktWD8sQWbN9aDNqqx4y1MIBqL5VrLMeWEdmYfIL+
/Q5LU+0gE4kV0tsfNmfenhYCuc5E0DBC8hJwwXRsRH+GylUDgWY30gtjabLOJWJoX+kP5N8s0XYC
Hbb6R271i9BZCfZ0X08mk9ckG9eE5TaqR7JgPqcOoF9dI1y6fiyz4adLnf1Q6+9TbS3GQkdV3Bdv
gJ42IysoKLNyk1IopB46Idt9vjls5QbULReSsNPV0HTrUe/ufM178wrsysp8qBhEoiBrnxFDM0n7
zlOcO3p3bJkbMykH+zJMPUmeIBkrI1vGXrJyh+YjMjEQM7NfgDt5s3k0iTB4DlMwD56efdP3sD8K
0lVeY/kydG2dRs2XPmciebrHtmuk4szWNhpuGA+vUSqerPTVrqrpPor7+LWb0mMdW1ePGdDWGXt3
gS2GcB5DrdD0Hu3MXakyA58Uv6kW0L2WY/y+L+RzDYloIUptNsXqSN5tlun9tGd5+WqBnJ/1uiuy
ty+TZ5+6gWRGJSHqmEgESTUsQDW6SwB0BFJaY36y0FJSjPorUPiXBsXKmiT3nWkJZEToiBAiIKl2
gkvnixO6BvSze3hZlLWqIKfKvYRhi2jRG16LqdlNsfpElIJjP0sWsSaqc+mKWbCHlzNU5nocmPY7
4adMnE0ZXyyhUyuKa5qibMjhKnFt606662awR4MabJrUqxZ6S2ScWx4NG/eYke5NEtcXnSDkCP7r
HZbvQ2AwLjGm57Az5Kps7fcQ0+UyDhGfTHI5YqyCYHZvG/XWMIZlNjn2Eb7A2i+DL9VZF+FF8+tk
QExGAcAE/T50UZvG7kcWl/uwld+kf+yjcrqOs1wFnkIKGzsjuYBQnaTUok1uEz/HquEBF1CNgJj6
Ce0HKVqXCpi5Xut88sxQfV3bk1h0Jnilx2Ft9vj7OgaZWCY0JS+yIp4oiYjjQmBKIsi2C8gNDmUg
WGgUn7l0VyxZX/Cu867UxYpx2iZhi78ahxwTdPWM5P7ey5r3dkyLWWUfLAvbgY0xPtp97+NhOQ92
cyQVlljK6knX3Hvg3e9NIj8MCmJ29ieATu/lGL/Go51um4LfA4nyqKGu6ZA+2KBwR0t7cB0+nlSU
2F+wf7aQ7dp4nBallbN6sKsIB16/73VnZxjmdqqKHzNOt2jPfjnw45HqefusCIwzLACUrCWpiaJ0
frM3fBnmzFfyu9bQDjel6QL1tJJ6nZpsj4Fr7pzJ/UWtTrFcuzx/aEMSFRDKHGnPRm6ehnqs17xh
d80oXkHhfI42aAALqtFST+tfUWzzYrDZDhqgW653yTQmw71z0rvmbjL0Dsu0zcCwis/se/aTDxKd
hIKFTsUGu6s+TXysbIrOcdcT1qLQL8FTJvESZSv8JgffsC8p9zwEafGRV2/fiDZbt5Z2QceGWCrw
Y8Sm2tnSycYNfQgDebFl8PrASKfmY/avNYr00uZ5qBw+yXhdKfvcuuY+n6xDTxR2Uh1UMJNfnHBH
lOcCQsxByffWjJ+9tIZdUG3jsQVJA9En5xDSc0TSgbdFa7Qq8o+gzpg52q9dJfZAlVZNYh3xvOz6
rtiQR74SLrMrx1F7PYTeF+Psj+3H0utXDIPoGe8gX5ELAb26T3YuT7qTiLc2ae4Z0+9iKFVsfLZh
48UrWXs7sm8BSXXVk/KaX1Xc3tTC8UFVrw5tlCRMdNb7Z66x65P2JOzTMGH2JgGEHV511SbzTIT7
pisGtXChf+HosS9yCH4X4xGs0xq7+30w/KTddKdLtYkiaM66Cb8xJ/qlBcubiCP1G9qd8Ac103fg
W/emau5MVe1mibs+9mudARb7HvfNmWPy2p9GiiU192Wica9ldSfLgZcwf+MVeSHB+mAnH50Tg+LK
iGaOVmh5Tq3e3tsRIc255HjxgrPk0EJ0ea3q/GD3w13rQtEu6MBl+pH6WrIaNevTtUusYgYaovEM
R5mY1shkgyLQe+MNF+2vdmrfgoiIGjntYhF9TVX2iRrhGGhnp/AW2WBAFsmJiA8K1EDMEhMaJLxo
ffhopAeTQwGBCDaQAj91gOTdalp0tem2N89T5CDgSe51N/zN2HhtMp5DFMX9mTdbInMAn7FRjvVz
7sNvSdzy5FvxFSMacW3qoU27ZUDUKhyi9+CcJSejfo6seGWW2qaoo7siqlkdkA5tduELfmz4FhMT
04BfK7rY0ypr7S0G612e1t8WHXQQxruh5APEX22lSEfVkOzdMiQYNjmCfFspW71UQ/Xplq23brCt
MAwIXmSp1UvSsqflEKXPg1DWlRWlWCpcFZh8SNJTOSxQtK7LXqsOMSKuuCEbOLPkhTXFux+N7C3a
17pLthqDGnjP1UsVFzs6SBbG6PLmZaLRbZnDskd46uA/opcBDEYyjUwfSsJPll69HQVEqA7xk3/u
eukue3ITXZdHnTxwt/9JMOG04bUp3UOfwutrwCnVB7Rv5MmRGPswTMEmrzeBArvl5aQlG9WwIsSZ
+4NAEr19aLmK5qXOgnHJ5D77tvHKBPghbHXOA2cb+k9xGG8bU+5IrLtMUCiLqj0NenrtxCU1eYBQ
xk7hhwaCbSjpxPMWihfL+L7Zqd44saf14SEPB6AEYtmX6sdl7cG7OeaMbUiliKocgTaNRFEi3zuF
ghYcBLPq/Y1jNb9A5yx03W1X0tNDNiKkEmr2K7gXIOjlCzSu9cSaqDWOLgqxMOLIsihJBwxhkJge
RfrUyTUhEVa/bG9bXKTUgDHS9NlHjbPM8ASCNkCaZXMjV3o9HWwvixlNqfRLk9iOMnwQe88zyUPS
K7d5k32cM7qekA2HEvh50ow/cNidixvpzpkFfPfdobZeYzLRt1IiiVxMitQLr3WWhiPhLKLo+FIZ
MHHHTNVRL322jxz26Q5NcvyS266zTkTqPkydOfPQmuAjpRreJbAdsXVpUqybAjdb5LL3XKL8CNaJ
mfHCJuFe2KO/sytL/80/6XwBgpk+sUHqu1TC0vX0SDzmqjI3kA2beycYq4OeRekROl31SL9HfUxh
RiI0NI4rExfzyeEnJm2p5G6JAriioi6OeWf5+1ZDMGezXLhkkzasSF1x9j7GHKILu8TdtnlRnjO2
92vuGkSB0p32mlvUZyOzvUNStfXBbcGEUMTReg2Vy+eeq+LcWJDzM2M8545B6IkPZe8xdxr7Ra/0
8avIM9gajfI2Pr7Ie3KJ8vfBJA2RcGBQRqXJ++Ngdvt0ItW+aYkpybjugujeYsP3JN0oeGDQOF5r
wCF3oq/kQ2dF5LZAlTqO1ksHTQEjaLV1p2Zg6CisZ82yxo4dxWi8S0eDRIdsb2VNQ3KtSIS568PJ
Po1cmB+BDO0d6FoH08uAt6Wasgu5DM1Fiqa+T1oR7dOQFCaLBCxgtLOBJHfaDXJFf8u6DoSsWRBL
CgmN/bQhMOdG6Ra0fbEFv8GpEjNQXQS+Z7D3QpgikJ2/mi37ErAr6UckE+OuwMG1syJbHLWJRZKa
MlYqSXjJEWYH7TKCcrfsmmS8N4yRm5SErO6x5skcEdrXY7oFcZGt2nL6kknE5LOvW7yEXvdE7Nmz
Q/KiKuN3FSY7S6b7IIefOrUJx364Awx6LEMSE4t+FkvKpaY7/srSXLTH3L+6/Ya6dc9eWF+2wvpW
mCNM7GJWFa8ZwS47P97AFMIBiFYAvpMcsgUCaHXn+Ja+zbzqdTDyJ1Tl+1B37hKrXTGJXgaRyU/c
brv4ztCrFyHQlhRa/YZ+GPSiH1JRpuqps7pnTxP3xUigK/nqizCIT0SA7n1nvIeI2+0LUVorqRnJ
Ls26mCB7435k4j77xZbg+tZkuJzLsK+ZyFKUsytftIa1wZO6yWrNWBVrRDJtAJgwr49uMHNBnI2f
ZD9FVj//+2GHOS9B/jJ0cSwlyUNEoaFMSaaN7v7L0EU5ERWTVGDxklfa/PA4De1wP/QFyCWRjAdd
zdKm3J+unE/BQx8q+SQiUmMrr4TSWause3PiLv3EcjFfNfNbg7fIvZPzmxTM71Q8v13l/J6J2xs3
v3v55MePPSBGSmdezXZ+RwG1FOdxfm+Zb9Yv3u1lHnyzPrRJjBHZ410f57femd//ys39dZpO5TlF
xrXt2x60qecjxIgIBV1lovIuKOqQ4M5ni5hPGdhl/d73OHn0xiP23OrNJxv3z7UUNfW5HwTNox7l
9aOe1+mRpXZ1KFDZ3/sT3RgRPeLR8CRn3nz6qfkclPOJqPm5+G3Mp2Q1NiETfcKQizIAKTofpuhz
c+5O31int8O2TYDhjrETfGQFdQbsFPfBimJ3TRJA/NKZAQ1D33N860GvwGr0wdUCQ/jlEUGwJjFv
aRYRl/ztEsjbGDv7fDNAqO6+vfm2yOd7A1ATyrT5LsEujtlyvl/EfNNot0uHv2a+x8AGZmq+k5z5
dqrne8qzk2B2LJ7y+Q4L5ttMcK0Rn8Uq1Znq6Zsh4dEhaRpmuCHqF8i3+ptzW8KOYWK8jnJezabz
lrZ3B0Aso0mUe+EzgIp5NtetIjRxSingjJBIMHPI7hAIk3QfoGg1CiO4KzqePDMpQYNiOFdaAHfI
Qmn1y0plm+9yAJU0N8BsNzVk/WoFW2f+F82KPv+/uDuT3ciRdM2+Sr8AE6Rx3vTCnT5JLtc8xYaQ
IhQkjTONk/Hp+1CV2ahKoC5uLe6iG8hFJjJGDaTZ/3/fOX4ZKJ/3tAHpmpxFmm5ZbxV3dSU9apBC
XJeSh8TBm8Bz0U92OCnA1qno/npO/mmbzf1oF2EMF0S47T6Nbc4l3Ba24M5zBl4lHXvZ+0zVXNjG
Y9s+pNw2j5PhvHcVo5zBHLlJLJwrF758EeeAP6KFGRrxk5TtU9Gn5c6YZBeRMywvkwmXNeDC/sUl
5tUITPfGHsJwpxrnecw4eo4Uo5jXE0Uf+zTYZm1SPASTZ5yDbM53vOiRYJh59uSb9CU8UFSgKL2n
zJJPQZul8KLC/Fj5HLOH0rxKbIvm4JjO6d6bRw49fZGzqfN+ZJTLj4GV/daAiciELCmn4nzYCUuf
QVObxBf54RNfGMhTxjd3sOqrCgrVHpwJkLauFodWF11kjWFJI9k5BCmw9aKaqEabrbtnmMpYxcSs
vsY8cC1RFgMVzunjuannl1qU1eNkNFzHgiI9OMMwBptkyOszzX4almg+D73WzY6QHkA06TX7AKYv
tZRR7cdV0VgHzDVj0PTwzIj5JLP6MVWjj+s6z96ypaK1WHCCcJvuUPhBfyhDuzvECyIUp8vImZWE
ejpLZZu+AaEBFqrdmg3zxV7COkqTsORo0Zhc5+/IkVLAsTkxaQLimxRzDXXGns+w5tYar/cBFY5P
/DwMOKB7ee1ig3+mMV1d170bn0QDuLnhtXtTx/4vq1HlUy7IogczDxSjpA4/Fr+l7T2BUrS2s0Xl
XhiJc2lquhYEsgQXm/SXAv1IBpYgYd6qMuJUYJGAyz61Fm9T8W668qaH7ub1Itvqyr9brFpEOq9+
e2p50FbNuioYKkBGaNTBHPhix6UjuahOjBHdTpubyNoeqcht4GbtHkciZM+wFmAC+dZP8rs2iTD5
7HfF0ep4cBl2MHEzbjoAF1Z6Tnz7WvsTy1yb76+54yWB3iSLGEhfxtglCzT4dUuYdKxPKfvCY0It
+E0G6yUzsQH5IELg55GiXLbsUpcfdLvLyA6dFPJ+YWwdYu+3Pl2AD1Bx9ikxPPM6nUKcLb2jbuPa
7+/AjFR3bmzMULxsTk+i9Wknc6Ia17NVu56yWLMX99P3yWs9gwmj909UlY0o/j6d8cR1noP1yLb2
eA4DH/HvF+/qMEm+6j/XDFhL+O//i9L523/+76e65J//Er7z/90aS5BmZ5/y76Mdd0MlPz7/eYX1
50/5x/7K9/6AIkCMnlxHwAV5ZfD86VomDh+48KgCzwHAY4bk1/+SLaNhtiyfkEXgkvsQ/5TpCP9w
HWGZ/ESX9ZVniv8kQw+2919OU5BbfLIhwhahcFz++XumYwVze7ByqwPPMXUk/zjQG2DqnAR2fIfl
Ql1PramjgjosZGCas25ZcUfEbnodmhgBBxZ3L0Gl3V9hZzIOc3xj77OJiMQk52sjr8iyOoa36ehP
0ZbOEp53y4c3OGA8s8jmvcsoorw2iFdFE+GXjc+OetOF7KE08Tgu1S+idn6B0trao1te5appD4I5
DNAqEx1C2ww+Sx6caRmH/ufCzQzCdMTer+zFqW54di23FRuLnzyhgasEnvepM7GqiZ3ptiGHuxeO
Qba/gSn7wnCSyaIxNltHDxnEkTj/4ZZDgaSI3zWGEsB5MVuRm6ZNFb2tE7ZaajoZ1ZrPxYgbYY27
R0NGWx9d1pW0SCVPXTDfDkYQHOrUpdas1LoQzEFN3KUw1o5Gvj5tExIeuGC5aHqV4F7US/GsOZ4C
j6DkKm0edymyPBGP9QGD2Z1wqvG5D83kqy2y7i3zJueenQmPLnPdFwTsu2bmnrvSi1G4ylKcQqEZ
uYztHbc069Gmd3diFj1c92Wcncc0qF6meDapXpmERRTDKr40tl3byo/1qcOBJ2BX0GaWRfdy8sdH
J5TlhVfeV+wwraF5NGzV4LVvHjXDreHo5qe3xL810kYkbuH8mormmKfu1UAKhFuSZd0z5IO0yXn+
TvpT+OZ4c3O2dONc2zQLT8OwFL8ctJ8QDDkrMTVO3YvGInKBFxMo8u2h+7Nxh/ZAA49u5IztOU8B
KpWmE18mgO9Hv4De01uBBYbCYBKu/a+44+n6Zkt+Z9MKw0cF9+2qcBFVLaT93I2QQ7NbEo37j2Zl
xdyZ8+QdED72gemiDqGx6GexFBbQThq/iVPTOVeLvhSac1hijiZFw3aMEkp3W7wiUzRYfIKwDIhw
TbN3aIpJKR5NDmv4uka6oYb3e5ic4NITt921og33Xt/OW26X86nnanTxQv8ZsU0b0dDo91nmB3ul
O/8pzI1x3xQlpbTU4HyoMkDfrkeSI84Tayc7j9MCOcj9UhmIKPUAOEeTcfGG2tw5S4arGyLHTenV
mjDXOjGUZskKkjUPjcjSroBmBktzEwf4p10ZbF1CiStt/LAwmmyoyXQy3upRg6gU9aebshWG6HSd
uDOt+sHM75kqZ3supMzLFdAjStd7qsEeE9ys4rpiBu95NjNbSMxqJDLSTg9e1bw7XvlZMdNyF3Vm
y/mTQbDHni0Pjo3ROfvOKmMePuuvWHYBk0drKrYN3UrlPHAu1Nz3uz5qAVw8JmHWb+wJOGmcEeSa
M0Dmbn3pMkK2HDeqrTV4xgO3uOE1rSdOela+0HP2zFufWNS21pV1bUrwMFRinR3JTf+LdHu892rP
vukGm28m07d2MRaTR0IMfFRnWt+ODuetog0HJ6xe9nwdV7vA0qiX5dLMrwjDgxPJXEZWuVJ79vr1
1QzmbGUbqsNYS33KaxfwoKWUd1JLshziIV7uWOu4ew4rahPbdId1rImZdXy2NfborYtRZGNBtD/k
YUvHL2Zh2ejBOYgBatyG1MBnIzF886NrDfqJanxp9jPY9Tp+BYa5bMc6b859OI1XZjtXV0BpgyPM
quoThmVPS1mYlHNy84FvcravWbqOrRll0oYUk/3sZbXPGRS+0S6v5gGtu5MCt8RWE+xSsvV7Ocpi
HUkmv+awfLantt01OjsYhUXwLFfHwqn9iBeG+4b6/H5Q00VTZo9juU3xyWxZjXHHXAJPvuHLWqjV
B5LcXN/v61oGUdwVIfCjteZsd6kCDjDw/d9rl2Q/5JWeG8Cd8otdbg7UOQjDw7MYNzL0z4Pk1klb
A4OL7VzLpSbjEAaP1TLO127Nu5vakNM/wpvOyE5Nv/LAzo9TnVhRDE8srbJ7DsBORIJq3i+cvbaZ
YhHfs7M6IJJsDrbLE9wlA0nNi3IsHs7xC+btfTr6z9wOekg2/ALAyxv91kgeGyx6S+keR4+1JPeT
eGui5lRF3B16rrxrJUz/ACHlPpgeJH5+dWo84zEeE2JcPPWL7Mm2/YsoCQ0b0JaJC5BN7w1z4xax
ATZEpefOMOUV9C3nxFKl3cb8zV9d7hnvypZTlLVBfuItcaz6uHnEHtodNGsB6gHjiI+2TKvmDaJU
ct3SaLv1S8041KAqUIYOaEmsPrwGESQWeVlx5/XCyF9U+KA89BWQUnceMaxBjJeYoeswyeVilclN
3aWC12xRgSSpemh7bYbrOJY8VGcLs9YKmJ9sdbZhKZHoJguf9nB31/lXIQ+00IFwk3NoNnBU88ha
+lMHs2+eg+YsHBra/KgvUN2hu4dFwUexUKJ7tDF8n5vgy5/t6Xfm6xiGBTD5iUP/tQtql93wlPW0
fuqp/1h4DX3JxQxov5sFePCUcq/masjrDU7fE8xdqKDEhYwo1HkptlORtfd6NPtIN253w/6DZl+/
AqgzoL0vPHpk1DbxfFBthZlc6OlgCuos+A+DaADmzVAy9R6NPJ3BuOilPGBTiLntpuqpAU82qza4
DQx3aDaQmV/oaC3bhtoDT9Pmq2jm+akpIa4YsGb3g1Pw9rbtMrwPnPpl9keGDCPjxiq99Fm3h4TE
9M4e3qy+e+6WEoRMldv3JEHrfRVWes9rL7yp4pKphzYL/0262KRqjhUUv37K1DngqCBAhPGIEfDU
T0M0gc9JCKeUScl3FnCzBM5GoeSuli6qNrM90rG/A7D1kJvpT15ozGbGX8p1DnSv3Qv8+ZZYqhNu
PUndxyVHyXuXU1icAt7z/Eh6i75plGOyICqdyNZOe4nddF+4JOijafZVFKbOcAF+sWz8poX6YCjZ
RJJZwBOP3+CsFwVRtx8NZ8cRHj2YxanTSS9mnWfXcHaNKBsn+0hv3LznFKcfa1kse4cN1J0VgBkq
5S/yDLxvZmcg5WL227YYbjzEJVdGCmlNuS6wCiVUZDbgXWMkyJFlW/PRRjy7xaLzIbXXIMooivMU
aF7RTCjJ29TMqhQrwnpJ3bOaUIRy/G6vAn8UR9y7lNNjeV0ac/s+wHB+QUYYRIIJDLVHbTAbYqD2
0LVBcxvGjCAmWX8EBY5kNyRaRa40JqTjnUi20Hpq+7fW6z5gvhFCEQCMddkePOKgVyh2jVc3K4O3
qpyMXdamxnPldFHpER3l05ExM+FD9wUNudxxoiTYrDXCZFmZLoyxTl0xKieM1rYkX0bvCHfQ44Na
JmcMZrA5Al5S0OMiu6+GV7oq7RmqePeOIdaKcpdsNkGd1uDBs/qephxbRtx2fO0QVAFBH2+hoxl7
z4ditjC+ODTjED9XOm3vAVcFUZtCb7O7xr5gpWtOnMGmh1oUFa3fDsA+YMUVXakfhFGSFc/6grSS
5R/azKt+h00TH5gnO9ug5QTd+NI5U4+m07eOwT4AImPIGxcJSH4KBFFbnT0mCac84iVt9oIMkldG
0ahIDHFysQrTPCR2aV7YS/F9PSY262SlTjEtrCOB4eRH5SyIfYg7RnD1y19OO4QXI2jcF21ZdPJ7
WrqePah3qErJQ97K4pEWo7iaiHTxyrOykQ+98Lb0ctnnWrA/lVpfrlV6r6SzXzo35cCmIKMTdDka
ap4uPsZHSpxtdXEUaH8Kkf5uieMvEuQd8AtWt/uq0BzdZjve54sXvFtzZ1/TPrUfWE+r3dxb7XWi
pMf506M23LvuD66s7W6haPbV9NBUQy6Ap1QH9S3FvOwyWuTlEIdxIHeq9qq2Q5O3hhPu56oNrK3I
7nLaLTsECeYuAKh1lRkW+Q0sSBdB4KYklLQilxTct768ChawdZtGhCfSjvbZnbr8N3/RdheHjX+N
sgelddEjr4EM8tuNl599SfQ8IGOybSb2MlYH5YLfhXDJmPD8LKr4Ok6TC3paTo5WeCManUdeAK8B
fnr2CmNHR9NSvNfBuBAqkf5NQySrdBe5RxGMcV6o6Xq95GPbqL7aqTkgdQuZotHdirs0jBo6cC8p
8yMbvjVJsJTvOUIATPAgT7ByGjoLlmtNLUGI6jnhAE8HzRxfEmIXrI7NR6mTeO/E+2CKD1be5ldx
Od7LiRxbMvFw0RzJTXNPfFxf1pngngI8xUA930pHffLlOVNPL+VlgEoTubqDad5j1plCzzl0i8Xy
NDdXXgpdCKvAQtx3Eu5IkVLPMi8Jz89dQdlkPRtk+7o1wHo0hthxz4uPgSyLKHey7n5sioz4mGqP
owqXneHK8sibQl5ZIyT6ltDh7UCqkzSOD/PDZZtP22Wt5pnJVTYP0HtwbqD7ySVqVRKtilp8KF6F
4PBE8sdpC9gvYNqTbd0w/OXge0zrcx4E2NeScTqXPAqhsxozSz1XVu9lLPjmsVMr/tnF7Gg3cerT
ATHTdja35ijvy84yHmaWeX156hwmuQGoXLjEfOLxtOXVRfbS+sEbsAOGATVmSTv+4DJvAzbfFpUO
fFNvg73EL8IaCFSN3Fs2fYaHYFNWsz6hmLMO2K/6AyA776Gr5vxK995wcnXtPtiz4xyGUXQ/vU6C
uISPn73Xddj/nNkTbVTT8M1Id/XIhya8jlurPvX8IdmRT3ozsgLYZrXqI34Bh5WWOb2MQ1Y+9u3k
XHJfQAWhJ7xsPLO7tfmc3tN94w8DY+wlEdNXU0jE6tmyrk1G61Zb/BtQdqAGtj0yN3Cp+auKtSFv
W2tXOggKOH2UJC6NM246NIRg/PY+B4tNaLXGpoCHBRSKVhvHdJweF4bS/qNfzMaOrjUcNoKNN2Zp
7kS3IAVNXJ5YI5U1wJU5Kjb8OTQbn2Yv/+ia6WbRmUEaI/uV5448+W13U46dvTU1y2e2MK+Kyw8A
JCCoFsu4UP+osQpdZTJN7/9H5p7/D0mheZE4/+VE8+FDfqg+/aj+Zaj5j5/151Az+EP48D8oDNr/
Esv3wj+oiPmCLgVd7X8gQ/6aaZp/UGsLiat6wmEautJE/orl238AHoQo6tq2yU7Xdf+ToWbgib8N
NS0BL8EES0IpzqYW97cVMcDQ2aiMXu0pj5Qkj+LVmSAKl9OeCmvvBK4fNoaaYZAfwm/bQov+vYrK
VcKgOtTsm1IkwbUYc3s/2bN99thNZVtuOhgc/Klrlu3ybXaQQymGc4jvYfg2P+StP/UHMKZM4sYR
jGySuLhySA3FN0M3gRfPyso7sSNsOipTZdkcPC3z9yWb54nD4QziDRMsJ0Akn6PamlWcnGk6eZ92
2w47aGLTYR7DgAyStdy0wBB3MNByOE15vWvaIX9gxdT+HAlKA2iccWKYRex9lnlfvQmwDh2z0oEg
denCmNsnDkqN0fRpG4MIwX4NzJYN7+RT3fXHcn4EgzAcgIWRGiMeP7yz12LZCKn1HWbMPG0m6GHY
9lRn4o+xJIvbb9tHLgTA8eLbArJ2gAqSsIBkidSwQtokld3c8uBteaBYQ/jefFtFMNzSZ86+bSNT
3g7kwB0ypp5jrZF8C+9BP6XsZ5yQ73Ol7KLnF109JgbAKFa8o1bU0ivyGyciHJCX13PlMPQMHUTf
K/4CPK/YhM5duW9lJT/tfsjPi3SaO+Zzzq/UsuZnMFOgzvGwoFqZ5ra6aqDFErJrpnkXF1PzUqoK
tc+yGlrY7tIqr3QLLtYEO/CSfutcsBBC/VrCbFWPOZT1vES2O/4E88s49cUdCa/0PreU7PYxlp9j
mmGNsVd/jCQE51rgNBjwkQgfkMwEq2+GsdNIINWaLGNrfytpBiPV4mg4mGpcynQlDbRVYGP5cB4J
WpoVnzNsHhsGwgAO2xGbVAynotlwOES50/DSiJGCUVncht/KHILcy5akzvwuvT44s42nQZB9m3bG
b+tOGmoRcxTyCNBbXVbZh+kfap6JO/eu/1b2mLUxonAOhzP3MbFOcILnXCpuAzmHHZ7/qiy34Vgu
d/G3CmhO2noDKtQ+ZqspyIIJdj2P6JoOhapQ0VhWUL1XYiCl76+qIavuvJ9Nb/oRiB5URMzf+qss
1h6C2Rl5VQePfYfLynsPE0mlnoI5lLl6ABeBQ3QIUVI1AjNYK7pTYM8wXxg6UCGrccUQujRwJXHP
Tx7AOBNPasmFvpmALl8l/MlPbwyca38aIcObq4BJriomaiGvwwjmcFvb3Cjoqzkfvgtx+zbBjekx
o6J0uQlnFE9tRUA8yofBuepGymkbLIqx3HNFGd7cOlWfqUy4Uxbf7qiO54Dci3why5Rrod1N4pn8
zrE5Ig+KPc631+23jwq3CmF6GqX08WcvbIhCud/+qpzm6iotn6gzzI4VEVXAdhUGFsBPBNp8m3PO
0XTY4amDBOYL9qN2jAzKMGCTI8iI4hczH2svV7FWxXc4d2hYYj+hKdYX32/cw2xSJEjDgYC2WDVd
HVTD2+Db3QUtNesuCUfNH8ZS2fiXnVUmXYdn2DbJM19RkPhKlNPxtxmMl4l+zwddXNokwBzWmayR
WOIk4kBwrCJB5Y8/ZefMB9Aj7VavCrLq20Y2SGvg+tKvlrKk8JZHHjYuO2pKjR+BNIILGF/kZh7n
B/o+Tf4GHYb1UtDDF0HUVxqvrYkdDaeMyQye+T4uHLK8tBNaSkB8f59NOpS/ersNuVx/i9cQIufB
i/MtZBvMVc7G4kz7B+db2obrwVSI4RZb3HSr181fDW/Bt+zNmsAD05DMI+dbBqe+vXAI4pIeU5y9
OuN60QwfxeqRG1ajnFjdckDjjEeHx1m5naDtjasOyqdvFBZiN+hl/HDDmTJRtjrr2AgIHFeoeNh4
9DjtVrsdfSZ2GhZ45p3V2HV17OLeyR5Np5xdfmycvTBtWMzNkAbFPuR1f8pnAZMJtiXnT6BK1i/m
mP4tblr7h2GM5Z1gKb+323l4KZI5yO5Kss88UARnug1xw+qHXG1+UIJnezusjj+P3ssWZ0Ud7AD6
Mx2HOTH5T4mBGxCdlCgjtyzbH27nrPJARXFmG8uEwAPbmR61e+yyI6j9cgdWGYC+O1L/Zj0Q3w3f
gkI/A6odkdLiqeWsDkPlYTMkXhVD5uVSJMqQkN5qPcxDf74WhhDHZBhTlt0rrd8i3dOsxsQ474d3
2g0rz6hc7cXkoLn2r9+HxiYo/Ip7f2ffYpZ6GFDQRrbXvtYJTmS8o6RHZA+aNnPja8pt5BXwRf6a
U2meEjRPcBuBGfdjo2mXZPghub7Grf+F1fizTxzII1lRR32clAyjGVlLKoOz89rnXLh2dYPzDHSK
CtWGbehkn0jJMetl5CWb0+TEzPZcg+zD1qbhwvKp0HYLGbIYlv3cBXSk5zT4VddtDSHe6q2XtAmM
hShXn7nHCZvTfFn48vkVex7S5WlcQVgp0rb1Kkd5qZeskEiTHRFqGjsBD4yvFUbPw0w50OcbQkWF
Tce4Bkm1S6X0H3IiLHt3pOEVA1z8WQaZ+B1kcf9eBLaK5kWrT6O14ZgsngNjiQgb1SA39i4+mxXK
ClMF8xMDCPaLjoLcWcvaMJ4dZMwtkMQxq7cBHbkqEi3V7UuL2pK0Gl8wNNYaQha7JO5tazd2yXxq
MsO+tBaLZFxKNhib2hrsN0p5uTyFi62+gpY8aekVVAidoClOZYkWYMsTYQQtO5vB7bKg0UNI0oU3
09KEZ7MXWrNWHNLPslE2oO7OIE0zpv1nIyijbXBK6B8mTkwZodC2wy3bX+C/QxIjdOQyRfeiN/Es
k2grFsgnbkwanY/yjdUFAoNnDuYB0qx3lZdYRBtB/X+DmF69cIii2ZOHlvipWt29DXWfXhWlG6RR
JQIImryU5ktC0JA3Cft4Y+tbbkyviTL47eBDWNwAn+ijhpTaEll539GUpBcBm9QKQPDysEPT2K1v
Py7o6EFnk98PvtRyg9c7E1s4DIBbCArdT+FSv9gAKfytG2T1KcDt/SandpBHSI7t/UjmG3R+Ijq9
GzJ+yTP7IZ3dwlNObmapsP7aELU+WA+096IpvYdYdSTVYuH1bEDGhVE+qTy+TjAR8He2i8Hcj0pG
HfOPiHxZNm0MDqb3buJO10PMh2cbp9ZCayZd3BfK7qiXkzrFYZiZFMx2QeoE5WviyvpLdKVAYtZr
HhcJQpxuh/NnQeQ69MUHB4X4QY904M8BtlBzU7c9rStuHKxR8jLzkfy2ktEKD2iN5F2m/UseOxYL
L97Rt0Ot4+tqGLHDYG3/KgfXepjyMVWR1YTFfbrMlKhaM3wR4+wexBiGX4M9ms/aCKbrwHWNd23G
ADIJZy33Uy2Hd56/HBecthfOlrigRDHoIEGY8BucTJTVr3WmQaAPvGNeiZ8gnodKDMU4KUyZH2rm
8bA4Q5uGQgJHp+CkbLL3Mdm7BRuVkSw+sm8orzx/BEpdj6l9wo3jFfvWZPDFSIK3G6LJtNWHmCVZ
drUA0Lp2B0e3p8GxwBplknZeBDgw/D2yU/ipOgaTW9Celdgp7lIvjtQkG710mjvrYKZ1ZlD/6VLn
KsNxh0yVVrDcu+BTaW8xsQiNj7pT/lHjllxlEkvhylNaoVEASDhy3YkI2dTBG2sCK3hwaSixlucr
DRlMPlsu9YB4+HCRYCqNc2U/9Zgy+xkWXiKc2oCv5ni0Gz3BF+ZiBOUZ/DPluMF2RvuyoB10N3bt
BxsiOE+IW9rliuIxzpWQM8EdGfY1Ub62sMS5cNi1H1K2+sUOzj4RRArpnr2FLDFyUykqt2MNVqVt
296kS83xqKkz9DPCakrnQhepiq9cS43pbTD5g3frZXE8HaViTTCPbnXf+8ikzoHLmQQurolTOaQe
Ze8VfZbsxEoxQ+GaNF15pNPImh//uVY/ygVENcgHKGeNHtz4B6TpCjPjnFD+SorejhM+75MAoDUq
dKB0YdpsawmdsVtKtDB/2N6oeoK43TSgiWhWbZ2rwzOv73Y65oE1XDm6tDDUugpdgiloxiSMZjkG
evNjWvVledKZJ819ygA+oAw0JPKmdvzJ3zLzrvtdnwu1R+IwGlGfTN5BU6GJEdGQidk3MuDdFVYx
FYmqHTScRbxCJjGh2sNYbRheod7nnON20866vCmQmPkYFlMX84MHfK65qsxKh8cYfLje9ABr0hde
Up46OXNfccwxp+nMXgc2IUYSNZbPqQd+45N07VjfJ2DZospr1m5CG2dc7ZQ33hFNDd8lhztMrJoU
QKT466As6DK9HK2EzQyVMTYEEGhc32FP4Pd7X3QtspegM66zMn8PIWxwIqdGf5fmDe9EJ25+GPbM
wJhG7p2E7C/hlQ+4aHNK0ISuC7FZ7BHN6ewRLM1iMDaiL3lNVakR/yZwYwi6LpBKSO5PuF/6ItU/
ddLZ9knRKeLAao7g1ttxeBwsZJiDl9irIYZM0kiPzNlMTvEAsINnU4XU+zqZ+Y7l1BKTNIkDmNnb
xEjGT+UHVBxIpIF6pDeDvQAoHs3ETHUQ59WokxeV2Amfj2DdiRRZwjDRswtxQ0BsTCJ+Np0l4kqm
EbWypiNer5CxLUPf+TAnYMZbHv3ggVs6bmDpuTHlsoEaYXjVCZuisS08Pz6D31OrJm5Z6SWJi79j
Kalbu0ViP7ArdqCkAheSbFaXT9viw+FNXnfN12X/xEc+PDphQpe5JxFa76ZFnRqzmj8SZSYvWmf0
LduklwdLWuJqtC0fFU6oSbcFVvGe4JltCA6Xgbn1a8sso2l0GwwFCO6LSzgMhHUWm2k/cLN0fmmT
PLwOWE6ix8nZHGPDjKeW+X8fRkBjvTbq3SxF35bheYqmAWhRBCLI2/2PzC3/bV5zDYb+/MupSBD0
z6Bo9NF//Mt/7L4RWffDV6cfvsAd9X8hptYf+d/9n//r678J2lrRIGCp/n0a86lbqcZ/x2z9+dP+
JIqIP2xbeEQCAsKXzj9DRaw/wHgQhfSoSli+FUAO+Quz5fzhAuByQ4+fAmhL/BNUBBgy+kWH/dYa
WTLN4D+ZXjre36kivCI8h/UXoBLAXaG5/v9/ooo0VW5A6LaGI21RTeebTiT16WM5lniSw/kt8Cgu
jTPwW1fl+rDU/dcsxKsMgjf2/eZD3K6Xo3b61RMJ2OR9uXZSPQynBtvEuW+rx7wx1bU/4nAgi15F
UDvVZmnlvcdSBWjFmB6p9ZBqT5qL3+R4uzKd0lJy32p6ImQF9ENNu65sSEFAmo/4dsRAGEoefCse
NbEvvNfFxq2N9kdaE9xY0R5HQvEebVrAlBvuTD9wYB+NpT53hVyfXRPPldJL7gBKhGyiXWNntpoI
FDhDEhoktHvpLFeN0XjnlHfDvGl8h4AHpuWXOKRmnOUf0D3fcjreTBs5sd0YvoO+dp7jqIfWuU0H
Tb1TOMNDqXmmdrlzbjxrPoncHfYLVgEieyHn+NbKiOT4g2a8KV1r+M2I8rKeJHZWZ/v3DL3NLXOW
XYog/KCVW8L2aqsbnyfblsxAzKA2oQZCA+QqVSBm2WIL5kqhf8qZfqKGTrzP3tM/Op78nBQI7zcT
g14RFvwbk9HPwQuNm9gbzVM40YbL+klGHIGcmyXvBkjU9Ze0+ulAH9G/7UwZ7qcEExuTEEEOvobu
DyRml6fVsJlCxh4taZmHgCIMW21Mufnc3lIEz9/sWr9x30kZJ3BIUWtxolTm2VmrFE3tpNGy1iuw
F/7OqiA/+nX4I1wrGN7ID19o0KX7ySKwONLVqNfSBj+qOJpNl15nfoF2znvy14pHsJY9ymTOnlTM
0pG9FOUfZjs3cq2HTGtRBIIOPrg8tHfTWiPp6ZP4tox3PliAm0G2r3y9hl/zWj9Z4dVABGpyCGs5
ZWwUzbz4KaW14tUz+OlFvci10DKu1RYYGs5mpu1SVLN5lL16sNYiTL5WYjxpq33JDerFXG/wrhc8
jDp8WmZ5R8aUr1m+37dwQSFkjxxPVpRweJhntXJzbNGSj1zgWlVxtsYoddfcrfHVneUaWIxBBt+G
ShQ7IGwTlUerITE4dLdJr8armCjnMck5mxRpyuMsVIelb24GU6IzCgrW7C6d0QdW98FBNMRLDFe9
WImaH8uwpC0M+eiIkAtVo+M903wQhzwby5dCcmvnUzXuJlcTK6UkB/d5MOJ3YsDjLs5Fe2bUnFwt
eoJXHY++w2mbyX40xN0XEwYkBTSQSGNThfNKZ75nHM3aenZyeDyDve2VxyUhsG9N7DERBx02i+GU
3U8WG0ANHfjWlEu54n7YtnP+yvqFTOrk11ByVht1s1j3DFhmANxsCCmk1PvehD1hqhh8gEdmJ++n
YITuCXVBpG7FobrAxERCyCNMYAyvWoXe85AM/rENdPxamD5BY7YXTBpMKOmOn56k3+rrlhnsc5g1
VOprJssMThbxUCyWcSGXwoU7LOQrKetXRs2kBz29SVRSHRs13zX9KL4Qf44P2eRNkZEpomLoiDC1
/B/yzmQ3ciXN0q9S6D0vSBpJMy5647O7XK4hJIUUG0JDBOfJjPPT9+dZUd2RF+hs1KbQjc7FRSby
anKnk7+d/5zvTPVyUriuJKubD4Jq488BifVONmI8UYo5HnDdIDJFDclPWeSA7+Lvyiuai6UV4M6S
Mq1g1cVgYcKqhO4+I38oq0Xxjlw+uanIAO/mbFeGRN5wfsvuxyVqzpHTZXeJTeYemfqM2DrsS6+j
hM/ue7SgEgpHO5OAnlnB9KmDDIIYuR6yJXseQn6NYpyXxyhZHiYfNJ2r8JfBhEuPTdY/8BwiNF5H
7c63/fgDkzXDbGE9xVNrbxfBCap2q+6O1ix/o9SCXb9SgFfdlI1Ukj+2mJ8f/MzGBkFP/Uo718ot
Ka8hORUBYHUIN1lwKY+Wb/Wbzmp9DhKq3Ns612c6LADqlK1cRSVscHwA3IVT/6fjYIYIAzJs9Pyy
ng8+U1fNqIFALKDooKrhpdrmA5FCLDHUNEKlhJmaM4xX0Yvt1TwVr78D2z5Bw+0YrrFguN/VwKe5
8N0AaWiBa5snbgZd0fcM0kI8flgx6jU69aif3Eb9wrJwNWtz93UINybXUkl1NwhF9SwrQWuT4YV/
dEe2B3jYLbS37BFTx5X6E2QvNFQF+LjBYYVL8sK6b898XmyQJHW1DqzwDeDOsmvD5queuKACUzwN
LaXCVAuOm6qwL1RFEREFFs/TLns2nXZJmlshZnzeaZXP0U4MRKtUya2nC6svoDwfRJR+DNKNeFEX
gbMYgYsmEzZqUMnS0xTF92nCEl3ZMaWIwn3AsIV+SBp0jQ+QKtweDhTBLIrPMikOZsj1E0N9t1ko
PsAQ1iFQ00FoW9yFOIZtIoqtgs7/mCu4Ip7/BfyFaqHOAbgi/K//2kn2z0H2/6VycGbUgODPv5h1
38u0+LfL+1f/56L+95f9+6yr7L/o4GAH7tLUeh12GVt/p4+Cv4gRwecjTa1+7/B/z7oOyL2QYDVJ
D0o+4DGwX/+9qVd/ERhy+SoP8B7ZJdJM/zHv/1OE7H9Fyv5kuv9zlFt6MmSODvkHQzfmIfdvk66m
PK8PJuq5UDHgQ8FAzRkZS49mAo1ganX5yUPsOPQG2Nsfr9TvX+XPHx1cAYGEJWYeYsev//7fJCQH
WzLP44VQAl9CcKXd/jFmTxbPzpFT5ZZb3nKIuiBeg5mYIQuZaXXNYrCiy0B3oM/s+8ZOzx1nv0+U
hXgbNhPDBzUGBqPyskwXsP8w8ZfJv2GhNbGJTMWp1Rx1U22AkaYG45+eBxgfxMtnKrUoMtaNfEBl
9uFsoI+vWwYmwSJvDcKObyiXulktKFx3Xo2FEHCYuUWpzeGK5wQT/G7ZXRsu6bSg7u8iaW99wlKL
VNeUFBroGXnKVcZ6kotHpAjc7N0oYnZ4Uni3WOzYEHPIeM7SFtOSjDhYZNOySoqg33OC9m9CVmL7
awPZcQG7e80SWVcSmkys/ECRhXuWPgy9jbbSnvgTFV7ipkW2pCdJimgfp0i2JBOo+UWBVT/IjwDe
yZlmHtlUxs3a4Ihi6Ld41YyYD/OQmXNHloFlRJuUDwSthp/UXttvLA4NSwDfqua1jfJGkZ47jq9j
HCc5UdCx/FYJ8524s7/lOYoTye1uVOXdhHR/HeJMm8OgFXVGrfUj6O3w1u69KaDyikBv0ZsekESe
0Y3EMDgBVisnQELsQnmzctBSCpJPkQT53qVEE3ZEq+pzhbvmSG6L++GQjNwj62zPYinepJplizEY
Mpaet9s4uf1eVIG9JdFiIpqNy2mfwwKDSjueMZPEu7zRza2w0GhdCd/FpwduJS2jmO5wSYd8cnw4
e71zntMxafAblHKtszFqdljRePt1uVBx3HjHWKppRcAp3IELXjZB15vvJFvVdwpG7NsmAz0wxf6N
cojKmut13sVpsUaE9m4F9IKngRJd+hT6bgNRyGwFNHv2cWHD2rml4ox30DxJMk/hyvd1/k3FJnQ2
A7lCp17PoYWtnbZvpyfZlo4/MtULZ9dwwrZ5ie0KpK6hu26bOKOf77xlKdkRjq437Mo0XS6qkuKj
8qLu0RYVopvMumI/V5itR3LLPxcWCN/kaMLnq4eD8ErSWz+y1J3OaV96TyIPbGcz1RMASy+hXn5b
TQOHg2iAIrxzLItnV+hn2XqkKJeMbt7GWOhyHvjNPPH0HPAZnjPtaOeHUoaztPTndeg7ivLWJcg+
zKSL+7HMMIXGffFkOJgeqro9morFmSrGX8tVXC71NFLGKMQvdpTNVzqZ7DDHfnrLWSo5wmMgkAAk
seLlFANpLmrkbT9FQeonp3uGDxR+ZpGIjlYdYGfxUbwqM450H5rSP+R2m7WblCzQ7UKr4nYWlf4u
ogI/Zj86eNUX/z1ahmrXj3X66yp7bHHxVo+VNSh8wqHzXsZLcO/0S7+PkoiXcFLmmbVFvS8GDnzd
FJcwsPz2pc6EeJb07xwT2DCrBsUq2vj5tfe37/Nx3xjAB7TqFZNZA1hw9Ccr6yq+SYSmEaTMCuXB
h0vrcQtnJ3rVS7SPUP5/wQ0K5MGb7X7ZOlQsLwd3tBbIh2k2b2sQ+mpOWLCFCLgKPJjGmhnbLSq7
P6EYGMeCYzbBGX7nSpvmVRWRol5zNkltBnTuxhRMYutNyDFlO9mMCBpC9CV9aa0Mz10zl6dFzA6C
s5ejyivLVUckEueHz3DKAnkZji0nie9G0PKzyaxhZL6rxtTaku/hYzOkVvSORIwhICIddRMDOn3p
s4r8dYSIHiFq5suDgy0bj4NIOGrF6fReZVNz6UgiuaekhDg+WPPbPFoVwfaYF4b2Autb1YvmJzG1
gZAXnS+jdId+y1x/pXIPc0dQby6rVy5+snCkhnCbst8LxT6POga7nnS/vWrHISDjI9sObELXcs7y
xsZ5myDhXbdkubMraUIC+9m33RvkCONtZd5430uvsV9b6Hj0cCzuZ9p3wEW9JdyE3aJ3qBTmbsRQ
8mXEUl/Ig4UZQaaOKhqHVOeyLpao3s8xa4o1/1p6g2GCzXHcSPFELC1gC+fxoV/VHFXY42h+gTJf
gKyWycJyHSI8JQhxnpUWtPW8IXHZe9wvElyfxb7OZ9pQotjvy7UbkHvfKdZ51p6corJW7vW5o0jx
vfDoiaB2sW/u1/U0NM85R86bHCftjreMTGKmup2XF9OZlA0PPKwg4cpuZXei4Z6TRJEIq1uXdVnd
o0D3aw4D9hkFTJLFovXQUJCdYF2V4i7Dg3tBmSbvSVXKuZw1uzp2jTdM6eM+yVlwrrAh0vlFXOwK
BG9E8mg5oROw216MtSIzYl8/6OhvC+P8lmOg+gL6znXbz2nIQSsPzS89/2PbTFiGyBelVYjTTEIh
S95X7LfeRkERebDyei+6YLpPRgc8FkDwF6fz/wGlketI27jBoD6y8qtKf53IUJ9NEid3Rho+tm5g
ec8FHeKfqDg5n5lUQ2ywgX6siBrZlNWzwVoJz+eksCRnegJhIQ48kPuW+ly7bpgg3OQJoOt4GZaG
L04QjC4uvARcdIW4eDDi6LEizfg4dZ29Yv8N7CCCagl+dDXULBxY+6ysesHyHwa71I6rDQPspzdY
/gbF/i6fY5Soa4WulzX8PL4w2A1RSQEVzS974KcusPgm2XmcvK9+nUrdj0mN9TgwDvWouQs5lEVF
A6wTY/grTzks4DUXFXMQg9Cvkr7Wy2waAHgqpSg+cDM0AnqZPWqaBn6ho5uUxAfc3KNgy/T6Jy4b
MByeSrvPXiV63tEXhWY56KY5kMmxz2BKB4oxFXSydVZKysgL9ncGX3QZjcdrnp5vTYYcVYaDEmae
ub0xc7dcyWmeUYx8Ps/Dpk/77x15oe9E7gvUL8VG6zqqoBsEPYY4oNYe2NfWDj4XKuEePKpsXxwO
k/G6HdL8FCvRoNO4TF9bbez6uY1LM22dceDzVNLUct+aZrnANhkOupLevy9GbPqg7kQcqFfairQN
xaPHiZIr5KxjNKUeRu8y4DcZuIE366vtKIWiTxYuzEnC7IbFhWgtxmz+5gvfxzNjJjbV1ZzZPr04
tT73VpiYLYM5iJSsbH51MubHYNGbhuv7gtUrMvSxr4EncBMjcuUbePZjMd5VpQexSmMTqtYFS9Vl
68XWTMewPalqk8VXw3kzL7xA8IhSMggMxP7OnxP320Bjm3Wi/Cq2t9ngusMpDNpB7RwSvhdVF+Gp
H2ShGHvsiQk4oDLCmb381BA5NExrrnpqlpG+lsQOWKuH2XByPLS50gE9uHDTybml5/IZQ+xQ3eBa
J1lrp2M7soPG5rwhwkKrFEZkIE5VYb0j9aQQ4qwF/4C0GaO2o1uZFFuQMgNCWIBEzXsS6lMyR2hb
xZC9UGo3pOcl6QJ19LsxPhY1CjAJBOun7WQRe2kHG7PNU+WIWs2tuFZJ9ooTEQoh28HuO+92cwsn
DDrKUoru6HMzP0SmcG8WDytw6EfduSTURmo8um6q+NO3AFjCHi+hN0E28otkA746MquM8ajfUJXu
P3W2i/nw/3Aec/4OouCUyaojkEJwUnU8j5Pvn8cxfJ5dX6Ret40o58BKFH9UafWNfemrCMtvrl/x
YJXkaBgyfxjylg//+jx47Yr8p9MgPz5gdQM0ADqFbV///z9Og3lkXMoVrG6LuNmioTTVmRe/uPnX
P+UfJ9q//5jQvZ44bX6Of91l/fljZrMM7rh4/XaI8U71A7CttbQE3UpeQngYvb0pEa9CKrkrHk8u
GI2W7goHu9yrM83+cbaq/hw0ZfeYEzq/vb5ka1YS7sUayQ/ju4bbfl34r3uei/Sn4JSIdv/4I34v
+H6fnf+Gfvnb//z/kgTjBI5CqrjS9f+FJvOzeK/i9+r9T0nmj6/8Lcs4f2FLCODCBHw/bCGIE79l
GfmXK/AIINg4tvPv6Jf/kGXCv5gYyDSQZ3SVshUkmd+yjOPTrEp+IqRZjb4XFpX/KVnm2hn0T5+G
wPeFE7hKkq9VgorXf75M01ylhiR4zAjSPQYYTQ5lN7HGYibbhVY5/szYG6L0h+Ghr0m/EaoCbpUE
4sCTAvIczEB7O3BdZquCc9+DwZiBIh5Vxw6VGZ0Bm5qM4uBWUOp8ZOXHLoCNwpdGwNwtFHhIvmXT
fZiUvo7bzIZhvtJTGrxy5kxeOrCCt22tOej1tDtGK93b6kZOizqmEFdxO8Z+WByyzKbINR41xxfP
Gojxj59UuGhuceqGkXJ4DVwwu37duIj8TpAuPOOkd9ABEbeWW0C+LrWnjxyKs+eqlF6zriAI4gUr
plCvQFFbFWvPuLzLyXHV68xzmmqTWCFLq0ilFQ5p6T9X2h7eQpsyA2K3aXdswix6wnhJDM21c0KJ
mN+Ty5zrETO8NQXExxKR3rHGHF505af5NtepfYMTj/azcb44OPsPHAfHz9ouSxwkBfcrUxhz1+WT
RfC5KqBZFo7/EtmjOHdCWE+0qdivVl2houHYG45zO4wPA716Wy3i+EvNBS94HEzXX7yAIZfzu/eU
voA/oIC9d+uzXaQINrzN1UfQN/7RJDYjEtOSyy+pQszUggNlDnHwDrMtw3cu53kTwT4tOHFB+Mca
nO5d5i8WOo4+ekmkNoMZWR0aEmG9Sx8mfa6P/UTsa8ziwbn2dTNqEyGM1mm/jO9x0manEVDXLRdU
n9G+qTgUBJBBt3EhCQ3qcDNMhtHFBsQTLjo4SKtMXxpTI2NPrFoci/nTsmSJj441KIxZynRo6EP3
G8VdAttiC1QiPgTw5254R+GfWabdlUtu/2iXZTklHqjXWlTZ7ZxxoWo4OB8dtIudLSYDtAOuEBSA
p7Yd12Ooa7YWfXJPu/bIrKubZ8zXQFt75b2nTj/fpLb28ORp/OlMOUJq8922mzci9vPKkQxHvE0v
8NmIwlR9R289fczptxKqs2ZJ2bjYU8DpwJeLJb0KnMsJQU5kCNq+6aHmdw27NdfN5aqB5vPE50De
GgejZZj7QXXghJGdCpxEr0ba6gn7aZ1vauEItedfSgnXTqIEFaqL+RuGxfaQc01dbF4+lM6O/Aj6
VHqEGdGQM6kD74ViLe/il0oAWbu65+eS+G0k4YLbQ9Hs9Fgyhc5TZD4w3jN99L0Kn2TlMDJ3KTcK
Ig6a3YQfzPfUJwKRpF4MsgI59JW7qPi+mdqY0zPa1eOk1NxwGEaERcEe3po0I4aUeuNptiv/QhaG
A9kohoXvVLSkbHvnMbwy1dTSssplRzc8qXByn/tSwhEdp/kjLNLyaYZdrQ9ukHkfXN/pryQYhMCz
ADifoI+bvDvUgaKcEcjC851ISba2rQAilC6mwawU7S6vs3Y/xi1pjWvGat/0eXWH11g8DUTKTpH2
3W95aQQIDnIoK16U4D5JYV5v3KB1trbGDL7vaVG+W8bMecDCHOyJQXbnLmnKz4xLmHc1Eu4LSl13
hpsiGJiW9qAEp3AHDeZSVSUuWFqjiPwjxto3QdQ4Bw6q8Y3vDNnZUXnOucn34a5oy3GeLD8YAfoH
BZ6LzJEXiWXkQenYfvTcyW3wxwciOTENQyEqShtLfzPrz3GhX4Y4p1lLG2zJmvD1GorEKcOiyGc+
wzZL8mUg42HV+T4tx9ZsaZZNTsIuksMYVhc7050Fssa3No244gnDzjlMyikfgqyjzoMP7tbYZbrX
/IOs/VJ9MwNCUWdSlJY0vAP5Gd/mU6k+cxGmt2McsXZ12dO2uhtu4qB0IcD49ke+tPntMMDWyqqo
w7DpyxtO97yHbhyco7DFwtJniAjSVDfVPINqAU0xbmVZfjimqCFRW/ogvIqejAT/i+q/ZwHFm3z0
k6OTB3hB3GRjZfnw5dXpz8w0chsYa14nhZOC1UE5L0RLoN1r937v4xpw0jvX8uQGy7v14FDifZiX
uAINGJ0owCFFUQeTve0Ka36dm6ssGjmxfnAjTwiwXFaz1Z674VzxtJRy2pU+B5s6aV4Le3aPRdM5
m0CnH1cpqzhxHJbUoRMQ3Iyxh66HDDftusgbHp3By26nwYJQmTfdRcMblcr/0U/NAfWAnmWDhxrZ
oGdbTSuoqt2zQ1ELIYdE2Wz/dYgIP4Y1u1fZZzcu62EsxcQDgaD7UbFPE5v/2tdeuW9FdtJ51Gfr
yJ/beUOoHEacozpcciiGDTJ98V7OBT5kdhBvAnxCiJ97Tm9B/Az7KnFae40vo31su0Lvl3ZUHAw9
xZwwTP1NSedDScyDBmYzL2K19Jb4WXbxAKO1HKim9pouYZixYkhRY5+SRmsMz4HUNfW0ml1T0SdS
ZMFnVZv+TgbdeJfmiVk1FSgWOfIQC8N+XuM1vaV+8I4/K8A67s/ZkzA2qLUo7OhBdqJxeoFP8hVy
ub8tfrBh7Ln1E9XDTIajxg2xfUwDzs/ANUvxj00Tf1TdrmBMuQ9InMsbLDqbmGcxnTKhw6vBCYeQ
PXZ0ooZ6vJUq9z+Mm0c/sC62q9gB5qlCQY14acmdFo1+ruVQHUgWwKSXQDh02d83WRS/5D5h05LY
6i9hy+IV+3qzc+XC5uFKB0kPBQuYw1iFPvWkbCYgeGHZxAbjVfc8A8Y9SOPhghl5ObkMZC+AKfMT
jJTp1LIeAcHa0phd+h0PJOmfEaSBYxNJoGVa81r5yIqftALaB4UJZiPI7uxM2WIPLR1/DxYOD0z+
PAf5gmM33Uh/xA1FuZ1r/I206YhUYCIIbuFl60f9U3gj81zNpYg5Fts1x2BuxHiCRqrtA2uDufvB
Eq04car1jpCV/ENKl9E75cMsnzxGCt+UeE5VZe+aLqVXeXFpRMa4/hAslnMGuTzuCHdEtxVa5Qqi
HVTmoqJkNtJrlnvuJR76GxDivxzHJBipeUxNCIiB/9XTpOIt/pyvXEatS5hTuVPFY3vTLXGyx/GG
o3jkqRJqZ3jqIt09zx7+2imdBgxV08WO8YZiMgEakwAIigZA4AaL1zYHQY6e1oRs/ynoWAsxvfFF
wzkt5fJBKxURVcwYO4+S+LPd5OI7rzdUHy/oq3zdNKncNQmlL35Me2KVegmQfykfGgKeq4gF5w1+
5/zO9WVx5UdEDzb5y3NJdgI4oIUJMGly/55PKGol8ps+cw4pH6rY9X8upFfJ20bVnZhc5+L3bnDq
deH/DJMovA36ECD4mKTfBDTBG98O4BhmbZW+WU7Z3XLbLI4tOubGtPKTVFZ4kFUGctHL+kvnOerN
8zpIwFmFOYFWwSt0SWTNLTwNMmca5N2xLmNjcPk0M3cPclVUKFdU9tT9IdSQbixfzo/UYZtlg4Pu
RGQy2lRWWJ3ElM8vQKWqu6lMXmtcxvd21OQkLlR7EBLI/ZyLvdDM4DMh3p1MryAEdmmbOXGgyEmI
86smivHLkTaqbG7OfRik+GFy/7vNUYaXWVFJ0nPDY36sX4GF+T/CqshPTlxxAWvjkYjET75aYnoR
8VnGyUPssgAq+4A4QbNMn9FMVWmQ8tyLlMtPnpGLjOQ5PkkIXLVsn4NuwGpkRUyZcL7ZFA9vWscU
6+RYnbrm6AAIZCs23PNEpdMRFBONa36P8wVHtm3PzYZjVrdSzfiZpmNPerIpT5m+IiYQvo/Cd5yT
nMg4uCa3N1NJqm7EtRfaZLlhzkBnKL5G3HFfsWrEMav5VoywNsJUoT9noso3YE7YEHkpfiQXZC0k
zRHIS31lSy0jL583eneWr9i/Jbm+JzhSrZOgbj5sLpgLyPABXzdMsNTNMGI5+C5TrJqHjnwlPhmb
zGuczt+iKDXMC1nxnjvhwp/Car+sluSTw5hLzb12Nnjl6bQiyPFsWcv4SNEARsC2Es5bJWvrR4ny
tWtTuzmwefpHALpowAtNJYeeTjn3mpA8bVhmYxTpfCJiYb5TzYzfKhxZ3XGSG9J1Y3i/fJKIr+Tv
R64s8g31FdldRT3bXnIw9H/Lmr5oQpH1mvTwr5CBf+jC81SFfP+mW09gRDYheSvGU/uUBxqasyyh
ykwHsEdPChV6HThDek8Qmw0KVW8Ho2S8mz1NxYCouyPr++6ttevhHXOv3oYyCl4sJLBzPdfRJxgm
Hp9zXyFAaz/c8/aAwCoHeSuWojkHnVe+SRX1zEa+f6xtRloSkGCxQ1oD8Eu4qX0IF5/e38qxWK9U
Fbd4qtLDvUslA1VyNRFB6rLULtKZ+rTxx12J1/68motI/ggDC0cd/Qj5S8OItG3CObx00HVeW0jf
+5ki7EPgiuk9qJKSZ0dOw1fRzyTzKYR/iImgnnJ/mR4sY9gA0EUyrAFBuHgc5XJcUCoeQ8LF78DS
0n2g6bWjRQbzwmLEUc5euQ3ykf0GoRJybjC04To69saN2vqhg3AJcake9E8bxuWTVWFgXJnBM7eB
T6B77LHtrYhkqzdsF+1eGvdXmlfhiYAUsRqSBOJexdfCNQKRL9w4iNHYpk82DZg2asEW96Sx++2s
eS5fez9ncl0kTAA+7iBfi/oS6cG/FFpfYVNQRTd1Uo3lisYec5/LrrljuM7gn8QQO3XmcqtpeYg+
YnPUIURGvzg2Qan2sCH0t6xhhgVwnpeH0g29DZAWdXZjh2VBQS1DQHnyqr7m92aTx2S0sElEOiKv
Ey5DdhyrAAe3GZdTyXh2attlfCWUNzyFTKEPvTvyNFky8VK6U3oKByf7iGXPsygal4u/+A3pk8aO
z9rLnNvKDFQdOTT0+lnhH+1mwH6xsHas13UW+O+DZyX0jOXCfgcjnreIB8v03csxwcBjDQ3CQ+fZ
7TYO655aD+NsRc3yfYXjZNnNrDNveY43b8kUNS+DbP3t0ngcDFRH25dy6ztYFeoZVJg8Ke2z6eoH
Vk2WW1I8NTNi4QvOW4wH6fCKoZkiSjtL7iJvcvfaOAv7sTEP3hYHdqIPDwPquioAG/tMnWl2bQXs
vXYrQbKR4Qli3lr13owoIAklvwui1c6eOYPzd7DxYlMxuGIdRIq7K3Jzjm36qj04Je8S5R0OjhqY
HaKwIWTlph+21dIFH5bH+WJaMsalMA8I3EurLQGbOk1kA6Oq1vzVjLdUkHxLo6y4TT2fX9adKBCc
PMgI/7X67/+FyRLhBVfy9f9e1sVe8q7/7V6/f/00yZ/S7u+v/C3ren8p23FZI0DmDiHM/88Cdyn/
gvzoOn7oof67ysFS91vWFfZfMEwQWzm8uTh9BF/0W9Z1IYR7LCOgD4YeVduAbv4Tbru/1bd7Tuj6
jocFNSB77DqCX+HP3UNXdWGge3/YN1kXfgNFPN9hNA8aThap/rDCJb8Z7bBt1n+8UL+3BX867VjT
/V1OdgAFYTxRPjk7NL6rn/DPn9yba9m7Pwz7wOujXaqF37yDhGJGSAeHqrG+gaa5TskbvhbYlZYt
hauor0oWgvrJfLSDvV001J8aLYq3iFweSpKDP9mjJ6tbK01i0DYN/vm8ZJN/GN0rAQZ8BUVYztjx
CWgIunzAnF2JbtYVjykh3yjBm97n2g1fSjsrky3wm+GBGnTZ4ERHTUmRqemdaCK6DKgU6F8rT6Y7
eO2gBsryxktpPkMin8eFGNxSfWAyWyedGDYLZbwbE9WfQ6Gds9Fj9sDxW37HUtTuRWRlZ102WGUT
DgwgmeMgeraGgu6ghR7fI7cs2jOj+SdDAkX3yOkRNqVj59LShivoXiW93A0TfDCGlnxtOdVLmqJj
jw3PY2dk9UkWG3iLC0+85Q6QwVQtKGUiDSC8u6oZ4WZBCnCFHW+gjvOFmtaLqglAhV4NHkEDeVRP
7jsuMyxLoYdZiZEnIVeDWEkVUbEDgDRw9yUbjpy2DwJt1sZfCv6lmiE0MuPdqPv2zL64Oy6R1quI
7B5I3J4aVw3JncM8C6qYKrRuTOUWoq7YGNrA951PLblrGwqM8REfPRycK2twW7I3fQ+S0qR7AYh4
veBWBD2P+ThHY91FTVxis8mhOcG4pWACrvAyahh1JH5Juzpxcawqy/vC2R8feo+5V1qBdeGOCvWT
YeVxXgqTbyoPCn0MFDRbUU6ecCLMbJERcE9KqpyU9MLrXhyLzyg88w7qJK8BTwve9zRZ5Fvce+qW
kLvzgR2g/GI+RVZHWvEFtNqx5zGdn+0JEXozaju9ZG5IdyVWAAil1qkUTXNKlrL+XmIi4bXONMqq
vXTJstU+HVtrE8IghvFXBwE3/aC+L2nfgFkd+VcsUp2DQ0CHhOiYL9ctvijOhSmdPb70osR6mKhv
pW/pdmOVnr1pg4rCQN9yMGksMlC3thYJ40I7Dw+u1c07L07m+EQEjFEE+Ve+mU5xqI2g0lxaKepk
3ULleZxHZR+v6wys7dgNWI3X7jF3cCkCmFExscvCe6q15pCp2KvMvJhX/hS0Vgz9TtAUd6Ksh5cw
brEOsEgA0RFMLqhJy9PjVvlIqad57Jyfddtg5hOl85KLpO33Xel4vxjPonDnCXfWK2FaShhWy+xb
jwoFZxeELXYgA1+e0KsLPK4i0o7QXmTJU+8CWGJgt250Y2NX5D9i7cepfOxRRCDlwuLfFYvFHDB/
BXH+YcrkjHq6b+hQ3vUzmIaSAt3DkITiLvCoMmg9EAddDn0QFeMcdmm+InHC2MkxaVMuVnfImvZS
BYu5bzP7C2cWpQi1pt6wK+KDncnmtpKSA1LMXyTnElm/lOl9ElndfsIVeoNs5267cao/loA+25l8
7MWeM0D9uGXGc2RyajpL0kUctt30WsOFHzbLFNympcJ7vNKz73xIxORT4fbFTYh8PeFKZc1jnE5s
HKcywc+2nq8kU0lZ4FpVVsnn0nrtYElXYFnWwCv8Z6JLcmeqoX8IWXMz2aXsclBthtPSLz8b0XL/
IB/t4VSAFha6s7wdhIc6kqPMhZMVb8cy5tROgOvessG6rn1Bvsiux+gRYj+Fe4O16Gvras5BJsas
1FllfzEjNvAtecJ6NaUdxWV6SNZzV7vOCveu5MrC8cHdIv5Q2Ik3VuXT2a2AaIEEsNcFCgQATNd9
VkWd3Pi8jytWKXyHiQs4HnOqXjzaM+Po0Bduua5L/0SgWt42bpCc+sD/xdMpvUAnaPaFbolOBlwp
5piJfFo3EYG2rV4WYuqpiWmQs+ZWf6UW3BJsbto+y6CCZekCvjLbRFvZhAA/AMJISBrNcf69S3GE
FFKon3bi9HvOERMheD4wex/XynBoSIJ422EY1AWPX/kieZ/Ww+ToAyeq6gvArndvpjb6mMEwet9M
W3Kb7ZYq6TZ1h6GXPQ6IyU3DdMDEipi8xX284ChfKETt7Y8GXybZQrPsC9cZbmQabiZdvVqgiMor
MtyFUGJyAS90wGmPnN+zdfQapVjOtGn3NGK7uqrUmUc9loSWNgckQIthbO9nVT1Egu0lcEu9MU1p
3VN8E10mi1R0jjU6Vd7OJgEO1usKqmpj+C3xERxvth2Vp+mF4snk62ElcE3zJyS34WB/tXL6nLm/
s56VjAq2Ox/ThUglWGTQaHjPV2lMNN51C/KjxYTDUPt7NTAsR7EbIUCDpa6TCeK7H7/EAh9p241c
ABFRHeS2bjVi7x/WpbUkj+XU4FTN0p01RtuUM8qum3v3nExptSksOOS2Jf8He2eyJDeSJulXmRdA
C2CAGYCr70t47CsvkCCDxL4ZNgOevj/n9IhUsbKzeuY8h0qpLArLI9zhtvyq+mn6ZWLB9X0Y+0vR
Be4qtUhk1saAKe2AGMTEH/eNz7SFT2jachZ015QtE30yy0tUIHiK8ndfB29s0VYR5Y9UfURd8zLJ
xHoO60of+hBUPUcNf5Up3e9rFTh7VqCAxoUGbmCu1damXWMjQVwc8LRTB5WF9ygRfH1L4d0ZPnem
MsAdhB6Nt6d6JN3mxo/3mljRynU1BrqO28OZ40L3kQbXDzVhBrADSdTdq7QJt4RPO4hEVTR9wGAs
Hv1+sc82UbNfnZEM29hyjs4YTm8ZZGD0eVMz15R2DZEPvsAm9u3ol50sw0HJOUD6K8jIss1Ge4uI
FpPx1EkIAYfsnHk82icmE1ACROZ+hsiKN6MtzB1TrRz6S1OFKe83w0Y6rzDvjdScnGIxQGMOHXm2
g9F5BtUS/Sw6DNKMs8meIWulOQuTEx2z3panmLfaZsRDB3DsWinilKFYC0PkiDTMgGJfklp5dT2S
X8AfiFWihITrRBTxF8KePcImCP2aD6Eq73EbWs9gM7NDmnTzOTPZsq/seXz3ZA/pvp0rCxzEVeyv
KmofuoERZG/bFFLJxF2e82yefw6ZKvmaItE9ariGjyFlIdyHU4XHvowGfOzC31EX2L0Gc23fRklV
nRIcU/sZLBMzA+Rx8AlU3L+nHpWOZWkXNARY5nmcSu8wVun4YIU4wXqhqPfp6uACBsY591XgUxU6
QR8GyvfuetGRlhp6j/v4VtMjSpYkpvarteSoeM48oNmIO2gmC+os6Mz0xrPdBYOD1gy78NDA0E/N
2m+5WawGpo4FPhDFw5TLqLyNQj/ZhxS0rAQF8UwtZ0wmvbUccW/n5Igr58VV40iLru7xE0eTot/W
EplzzxbB/jbEPj3pObrkpqTofl3gfkDwryhOcSsyEQoS/AA2du0X4WdG1czWEg6sXGqK9mKEWd1S
YPHFoYWaDMX4f03vAHWBg5mrfSknfWzasfvgS7s8WsR4AYybisQ4LxJYtthmiDBbctiUHxNUua+N
FrdTZ4/ms3aFaR9IFrTFk6Wm2N/0DEkibiJc8NZoeNkEHZrq8rUnRqAY/kAEBh/DaO1lQ+a39Kb4
2TR02y1M3PeMzeBVLZMX7wfGSA/NLJyPoQ6958FMggGeFsCHlxjScpZilotLK/kyk8pOFoCBz9YT
PV3hbZrycTTKPNocUH9qF4E0nmoGPWVq2sdZO6wVC75mDmydw6om+zaGwZ+zZOvOHXA/lvZnHvne
i1S20s8Brsz+Nqpbz90uGTbGrdPhcKfAVW/RZzN6MWWMWZC0MjQ3tO2ZuKnDQ7gZEDgzzu2d3vbl
rBwqIvj2enMWkEplPzzXThbSEue2DRQrP8HNYiG5tVbjA+9vfMLQ9djEx7Ye3I9imZJ95YQNgUsx
fAquRNRPNe2jlt5DakFBw5S0abogOPf0tG1inkOwKsr+zPxk+hYDLDiqVKbkxUfr3WlqGWxVOHsf
FBiZ09hP8w7Qan0nFlc9xBivoBHEJjp4WbFt5yY/cqJObvC6Toe2Gwip8RZ+jn48EhSz1L2XNHqH
KLd3+tq/S/1sPvVKOFfPX/ZYeZZ3Celb+K2MUcVCwxL+oKBlxukXEKRqvWhWHD+6xEnwjYrbL7h7
5gGZJiIC2+qS1VpQgNOpMfxFd4MP36BMd55Q8WacRPKqg3B4mzK+OYVV9W9ZEcebyCj3UkGKPaUU
Iz2gTP2KvcReC0pIHluOs/eYbFtOV2nz0yMMwA46CVAQuXpemCeflti2t1RrTK85XIZVRzPFbRfJ
7L5etLudddtV29Jp+hsTeROTLMD7Ki6Th5EBwMZtUhJt5Jea+4E76fd2Ft5DgidkNy8h2aGg1ncj
s9wjksbbYJu03phAUCWVlu6wNTUIPSQJscuHfiGOUeCRMYO9zguXMxBtWe80yAtUfqYYhcrD95SR
HE18rPkQwrqjAoP6iAeZ6hTOYrdVHy/bpYv6y0BI6qnnlIeUXVDcsgDAPAEvpvao45EfO9Z7v6mH
b2mqq2209OnnTLhJYpblSu1UDM0ZvWeYoWa+XSm7yoa+GvDgIXtKMAGQR8FGdcGbAFc/u1Sg91+L
QHYnidf41ap5rrpEldwEx2qDnJBvysR17n0Sk9SbUiBljUSPzNyIS0Ll4i9vMniNU7sScCWz/tYu
2fNWcxW5X0Gcc8MadKnPdgzSYbVAUTxYPGiMTIvRclZ9n0PFbfM+3gDfb95607Qh9y7jPOVybp59
LbrPzEqYrfi/CXsmbKt3gj/R59Tb0PfCmPXl3IFivV9Y/V6X33y+7Derj2Swp3dZDnwz7ifuV3JI
3e+jqtS1NXNhrOvXn0QaG4bttv9WK4Y0suzrm5iTGvA61g5+oAwPP1WOuxRCwWNosXo7SoMplGMH
Pa4b4WCM/edQDuPZuaIIOxFEW9o0i8M8XNsYr8hC1BAHykjavGvfTneYA6xHWeQSd74dYa6CMQF+
fw0tuPqi5leZWzhliaTEGSeVBP0zr4Ypdl7JeoFMbHKT/hptL9jB1Ju3VJoZtYpQrpJVjV3kLecO
uYmBZB06P4UayS9PCej4G8soks4rGQGP+ma2x+RDhKnz7GcVD1DqLPwMVlc/znXQ0TAex9WrV7a/
ut/Qx9afq88FsNevmjMofTwWyxAT701StvVGjhbmN+CRecxgy6nz1eDPoEPlvOnZmtdT39OMdaVP
chh7RX6vTzD/n+xoEvt4SK1znEGrDGO4lZDb5MZScPSHJuKUHjz2aefdkUgrb+zYI7Ti/sZgmijH
hl5V5wknzJHeLh4HULjytJR6oMsgca/bFP3QNdGl0C/QUcKOb5q1nM0wB5c0npMNQw+9d8LI/p7w
+HxvMHsveNfqkr9ftGeV0Co7coPaqcLtH7PZv5+XxNmzN6PXRRYacO+Aih8sOe0LKwT5xlDqTgr7
7joT+rApTSKQ10yOu8mtKrvjZIeLzWa9uiREdJh2dTKByYuVD4s0F09MjYvH/G3pNy5MnVfKbehB
DSetHjgaFDTGJnl0J7KUyf/kd4feS9Q6Q97ZYP2wV0E0870sohD8FmmPXY+PgdjvUOuzp68oBm8Q
0Vsbj2LX6ab7yGbXvoC7xIJFaRsLuDfKBzcd2kvLq61rasvuE8d2L3ZjAXPGGeufB9Stg1tTyiJg
bZ9BIDfn1EsDnLkY66pJMckTFd9TtOH+juFa12+l210bkH2Qae1ozdNq8ZpsG3vzjxDlZQOr1V0T
rrS/LHTi44jg/6RYmVbKp9mb7WhBn1yCfBdnQ7zT0l4AmjB9S4SPXcXJyuBi8r55WCxDE8DQ2vyR
5VYHRe0VYnPhnxrZZC+UCLAKmrprmTcqOMMMr+h+xXxzx51AvKpk9hCj7ZEzF85bt2Mz62tYr7TM
cd2DUKiF9RL0FCZnMwZZ+hSJcdpNYiD7FObBjwR2vDmwjn2hmpNV2yRSrar9ZqccQOi5TjddmcGr
CbsD13WEsbK9G4lR7XQOJMlB251X/Ks89h4kwML4084t2E43VZI183oGzrX13ITveE3kZ63gjuyH
vNUOGw8VVk4Rdq9AU53XYKLsCJEyS1ZMrkjkjCpLt34BepJEXto859Cv7V0qO4P7Cf2+2lk0w9Tn
kU4QRrJNjdOuZPgB5zWPrbcq8zrYOdBU0ZkZDqyTJBsfsVbpFNFfpU+Jv8CYL0IMmSusRnLaZG06
/Mr8ctkvw6S+5WJRj4EJa2fnk0Bpt1mGz3QnKWpiEtImIQ0phboWfmMBf+wCjyPyhOhMCD8Im7fB
c7Pvo2XPC9ToyfaO5govOy2M+p9Tb6neWzeCQpRV7Z0hPEWvp2y7B2hweMYEAul9MzGIc0cPA0Te
f0gnJfMedDlY7zD8ZtVusiODS1DF9d1TF4jylY52UoEV1tzdoBKBTdspGKT0R96FBWW/MZT5QKPD
+BPWT30/mg1VaMsz40t5Clrh37sz3OlNNlH6FcN27KgEc4MvpgZKruNKIOnbGunAMjCB4MZP+sAM
mdZeHdfmPQ0UGwQj1PnSl56/HZKHtPGHYRNXKnzOsbfcxDDsvVzpfCPA/14iwU5wwFzbYGIjpvOd
+E1Xw2IxmCsM/P5xxdRZPmCLcDHNTHMB2sqfoXv2LpPazVgH0LNcIuQ7thFxX3hh/+DOYnljcD49
WBh3iMU6GOmIwe/7rnFfXNzEd6ScPHozrcne1VSJ0Q0nszvQbDP38ilQ3/omT7AGqeLcW854ry2R
t4wgncQ7t4FBdXGcgn8mAYbeOeWUte59a3yfkRoZ/3O43iXSZJA6U3OH0x2jt+/lIZ5u3oiHOtOL
RdJTxF+RkxC9TD3HeYqja+4xLe3yKUuR4mmF4gIdqkWynXZyTeiZi5QpXXmra6eDHVPbAFTc6m62
ZJWBFEzbjwWW9K1aspa7fBuoi92B/lmlVZdVh7RvnReVhOKM94MIe4lPg8bmgfknZlPSgdlsRT8o
Xl4+m5AvzxbDEXfP0W6vuNgFqIyaKW9HkR2LN562cVxXRcpOwNTT3HW2G/2YrP66wPElwidbvPm+
K46UkC8XWtmAeSURPU5t2Z1Z29mAutD+6rxBJ5uwZucjoGq9KCttHuBZ+CeDX+jGm/rxCI1l+NUN
HlYEHtt2NQWAu/AdGPNTZRFt2MWw4Q5RZOte9dWBLij/JFm3QeLUxZNHwvZkCRjqSz4PX1XWus16
gVe5bwq7OmSeb6oNCe7204HplmyBI9WPXJGYfhOSeMlh1jwQkSwIDPr+0yI0/9CsQ108tu9wx7EA
44RF7kj9zjr1uT1tB97DJ4LC/Q92oDJYXbtZn63FcaN1VWqRbusuucc43T0S3pOoB6wtYGMGD+qC
3ff3pesX58bhLzkRXAHC5/69MhXTBHsuh28LY7XrhjyKSzBQfwnLjfhlXE3FIxm6nLbHMBMNbp4a
ZlGOxIbVCtnETtUD4lZ1LGwneeyEbNYiNxC6xparhlfrrdZOslqSKborx1md+Gsx1TWt9d0A4l3z
r+9JNOZbJ63hPoZLcDtQy34/m/KrdeSmzAeMEQn8NJT6+aIwpj6lkzvtde0T7UjCpzntxDZXQIRW
itHlse8oLl+5kyGSiQPxmTQq5wrl8+WZrxDegu81Butu2o1cX1FoBiYcFjbEY8+x/Zuf1Oo+sm0H
e4dr9KPHgZ6bQCFJqgQ0daxGY5pTOkqXyp0w7sBQGn2Duvqj1rkAp9V38i6JhX+ZVO09GMYZ3yo/
8OQqB7Hcc91FvkkGnqbJjg+sqiQX0iogWs9MAR+c+NXQgElJnd2SrnTqjgJSxu64pHI5zSVdryI+
D5ZfvbkxWxZFoBxZEiacuSMmeJ6oLQRWnOYVPbU/lry/2KD7+mASHWxsn871gDhzvbdd6bGbxgbR
qu/Lb8qNCO9Ey7At1Bz8IohNxbSVY9Nnu/+wyVtqnElFYK3Bl5LSjCQHWT9Dt3KXgRuMcJLp3EHG
pwW6JWeJmsO4t5GfjfQqD8t1bx0ji3i3x4wkhSGQL5feSBa50G8byC5d8iQrNB9IJNNz6hvvq55m
8z3l2PoM0n6gFZ48D+t/dE3ahVlQg2E15lubo19eASrwTlnzuOGV3PHwyLEYj0Pgo8PkvctGk/fJ
ZbJs+3vh0gG2nZqIMICe2bjmKlRHCt/tM78UjavswfT8NnRJzxL3LdgB8BS6k423aWJB/W4WFfNb
G+QC3SYJd0I07PlVm5CSVHYdretIWPAN/XS5DGnE6t1PIj/5oepOsenI5cp89n+AbqcOXtkofvhl
a3YrkTYR1vtwpmexTBO9YtCGVylL2MVWRBKuTS5qcNub0Bhehg6mmNxoDeKwpJDlpRg1Ooqocuhl
vqlXfWRZR4bsJY523V3/h4kvHa7SVLyg2boFwWoBvaSspPzCJFfdNiioD2xenF0KtstVRDyoO/Z2
6eQbUCPmnXkz7VSUqj7H19tVGQC8GeLQ9GsPfRBQoJ1vTFrYlyAcxVfu4TbuGfftrCinPAB65hjt
JC6Cdchw+LyUtnPCQWxuCTFDnHauQ/IyqYnYkManoN3hmzVSZ5ZND57FZBQCBrfr7n3gEH6ao4qs
OI1C257ils00t+NPp5HZZeA4cUtdG+vXQref79vVjTU2ApMg/w0aLpkpZ+jsd5v0L124SX4h5yW2
dW9joMTsRgAYqsJ7MjTLgx7H6qamWQwZ3bG2nojKY+H49o+iGWFXN4G+AVeIMwlSp1436ZRuaGxZ
fgDfTQ5Eof2jXmrw0QO9CVM9xPL/xz7/R9RZF+cKhpb/3hv09rPr/9fqJ6nP4p+cQf/77/0Xc9b+
D3zNAclin0zlP3K4AqKbAoc+DC7nN4mL5PF/OYPENQvKUhnaPpwqVhb+6P84g5z/kB5Wo8C3/QBf
jfd/5QwiOPrPcU9O+KFQoSuF4/tQEP7Zn+N7pA4K5Pm9ToZ81wIVXY0xdcekDwMG1vPxH96ev3IE
kZj98/U4FAoQYrwjxFn/6OeCnh+5AMiYjYK63sciz67zxvZhdKpmSx/4tCmjBR2MsbkNmXYekV9o
fx+YNkXFmrXE5WRDic3m3/xcfyLBrmxfQbDWs6UAmOb/4VO63nBh1WOgZLr+ra/4OZyJAT0hiQPd
qKeQzoN9zcBxBxjcbJL5Ikmenv7+h7gGzf8xIX79GVyHgYUNq4e48R8/A9dSFZlsCPYN0/k9Sk90
CjizPP/9q/zFJ+7xq3KQdEMobOH1z/8h7u7zJrPYZ8HereVB5tNbgLfpMKWUq7RTN/2bN/Yvfifp
MmPhE5cCevIfz5cW2rFNFoT7sKKL2ARkX7MBrvzf/05/usx452i+gCfHDJ9nWPzxVIkod9pJRv5e
JoSX2pyhR1UMj2OZ/vj7F/qLNy90MLTRf+dLrH5/vJC0Ft7R6+MbpUyASiv7hT0HlY4CHjfLb/8f
Xkz9rtnzwHDaf7yYGbyaXJrn72sX8nABOmGVjGxf5YJhy2Tq8Pcvd+VY//n8YVzEceWxIsDG++Oz
Sp3AW7Qf04Vrgf7QI6VNkx/ZjwWAGJIWSb5pGJjuEk4ah6XOrk3OZfSdaR2NaRV6EuNfvXercty4
uaJ7xJY4CpUbFBspOW/3oimbTZBUeJ+AKLH/leztKxr1wMLU8DPWTb+gksgMjoydqQddlvrfsB6c
v/ie02OkRCgY2v7r8zhRFzPRYOzv4yoRx0xawXEeJXT3Ub5Yc0UHQdRR3Rn/8t2kYSfOxTPZueDf
vNV/9byGrNxeyC4u0ZD/+TuoM/A6xOTCfVEMjFc83CW2ol6N3M+/sWD+6yuFwA65rwZuIHmv/3il
pLkCvbKQUr8oLddmIKZHDP8bIW6x/fvHh+jnv347rixH0JKIJBTV/P7zf1ha2tJxLV90NGJxMoPU
aqVXq7q5545kHpXFgyDa/pnbTLnNhh65ow9s+k7A5BFirkk3h10DAs4njMH9Xqon4nryUzIROCA9
9MXabYf5Kex674YZUH3OEyKilaYUbNU4Q2Z2BeA8JFe63+zSH46kD4JDk3iK6T0CsNV27UbrVmxd
qfFkt4NdOJQt1TLaT72gNql06GqEiHZXScdgZUo6qLGjEdzIg/QussvsE1tBefRwOWztIlwO1MpT
fD+2ML7b3n9P3cW7mwS/+NLhKbIi5G8ZasU8T0QXJ5txcffutoiakrF+qsEhOnjx8do8e0I3FDVW
zWcQ2xDYk5ZKhmRuuXvX15BuNc7XPnbaF+w+e7Lspr0L7BJcnUE7J95kkA3N5LbvDVzhCw6p6DUJ
l3Q/lm3wg5gvZ/PIdj9yK3urCgFHPgc6d856GmKpYL31y2TDLPfgelZ5qEaHEh4NavYRb29NJXyi
grPtud3dAgwImaNV+67V+Z5fp1kHI7chuHSMXJd6KIBspaSNWKXmm5AJNm67HNEGR0g0+Mzv23Rf
tNP4kyMT7wmToJsk4cZT07CCxSkCSSldMSD1et2bg9vsVXoBILxSNh3ii7bDV45tM/xLQjN4ukrv
OAz4MaYWN6ZW0rtpR1Vu69YGXpOSTEKFX9j60QsY06+ywquHTT5eUdNxqHdVwOctupG3b7Q6iHpk
RGjQIQqxskcn3XqNlB9JI+azHwrvAweizTXdzpO7kcCmXAUjBBnu7TY0JxYPw8rpzRopu5zCVySH
vnh1Xey0o21nP1pJUmDlR5InPsSr9lQwe8UkmEzNNuGIcyo7vcbG5f9aYjQxErspw2Wb5pZsH4gm
W8AdDfONyMv2tKhe1ZsUzDNfIchZCSLvXiwccFasB+V35coxpAgJK1R4TQdpgGbkR/LhMBJZvKjF
YoCWeXG4r5GZ9NrOy3ITVNFtPpj4wLAY0BXDG37eZMI6wNAQa/S6xBQXrkCCLjdi0jTgOe0Jn9C1
b6Mqn9xqYkyQzjuDWetZ2KHZIin3u46f7TBZdbwLW5ovA2mXfL6GqiJleD4KhL0QNsigdn6N+Mbs
yj+7c/sTJ0q7TQdNEpwunW9hFCIi0KPeHi0Hc7GyMgFcdKTd1VmQhSz8s5u2oP8mx8HDlKnCsWNm
JLRKM87yZIxXNC0/KQPPbrPKmQjP6+grdxcZgU2fQGNkAFoLPuKnyHcBx6dWsZ1mOLCWYRfmKKp/
jAiXDyLs5kM4WSVJkSHYtqRrdhDUcBbC4jQjB0SzON45ElO2NdeiRj1kBNCaE3DIABE1aOHPLRNk
mC4OoEVELxiPGNJqJ76zSBmd8c2Gnwym3RexyH6LiO/KFWQruM+VpqbRlvUhKXvKUyRzbRlY1Gjn
0C9gqI8bRszJOW7G9yDQaAm1zXxfomxOwzDQAbhUl77AjbtuvGmBnp16IBg0dam+xTDSGzIEeMiF
K7K6t2Sdku2Y+csTFIXuQrdW+t2krLg2thziLE66b9vc3HdjPZHVAyrRMGdaDfQkvajWw9CvZ2tT
zT6WwzB7H1RIKK4rzZqeH3qpGIQV5SNWKNrXklIdp8HFaZxnm3ghNFAMlH3Wrpp+wrWkDIP2HMzv
AcOgd9Rp9+IV3WWKaLEJmixem8me18KbnRuqjrwYd01S7HThc+Ev6mlXeyE5S4eKhwz38YqB1/iI
ya5Kd9rzu1XRMyPJKuuXUSAtJ18+c0ha9kOL5I7s8DopvFaOo+R2mmrn4lX9Q5PqG1oqYLc6FrNZ
VvB9FFWfTo3lDe+2cTVVqnFc02cLmoZM9iZJF29rxMQgYpjc23YaosfKjsotSBx8Y4F38Wq8AOG1
o49qR0Mn29B+i8IIUhzNi2s1L/coa8EuI6U1rRSWn/fKRxNzinje4XugGjCwEaTXXmURlK7nqnnh
XGYeRJW6B7jB0V6nE8Q1FptbhvYUw7ZW+JTw+34QOh/1JjeF5t1QpTIs5y1+VacYan+D7zSyt3LW
+UjhAu/ICjqlf1/QEY5lncXrbUx0911YKPwYxEM9HGNEkmCnqpLGgm75NeO8XsXp1W7hD5/UK9ZH
/u+IfQem22UeSBRCNC0x/uKRtX9js/jc8iVs90uGV1S4Yf4BT6k94ZNmeD8sC6Lg1UhaxMkuTXEx
OirgazzpMwBSc4eh+HUUoELj0CJXNZF2YZO/V/gudh32CCouSKaBoFMTT27eQUrzvfZJKPvJT+mx
r5vMWhFetw+kxLKTmTvvULbDcBxAqLLKDxWudFBf+7EVKOt1Aa6DUOSWrgsb1xXu07kvxf3QFOmm
spPqow68bttSTRLhDgYXzWphKKX+xYbEIJkx+GFR9vhCiPAKUzdy+qmLhd6p2obfD9AYIiJdjJwZ
5byzrIB2haIuj1Pa/aqFqE9mipwn1wnbHVaF+1TTrT4vEjRc6DJmcxxrfB3zPP4laRPZJnw2d3Qp
2EdfttHOqkL9uNCoRDQ/+tJhO9w6lRXvihSnogoyLO3QkvMDJb1mT0k1VhNq6rBy2Q9UHQfrzk3E
DoqZoU9Feoz+vbg6ZZInITDC3jnu0K+wci672qT52QN8Waz6ckinNVoykFkgdD+EEcU5qkTe76qe
dyRUWbGPKloEPIbzoC3VOfeG91mb+mJqc2uKuvuCbDAA+XSbTewUYB4DcTu4kIzDqOs+3U5JbJzt
eCzlvM9r65VwDT79YcEzi9G2OtX00W6Thlx3PKjyxXSmvyWJwOyaTfBgmvhUgep88ZoEDAy2+k0b
jvqrraaFnZtDAePUmmqVIZ42jWBtzmsVU5xTxQ/OSJQZ5ZLim1JQLgP7pN4wyBjvGZO/NTNEnNoa
bhIxFjA2pi1gDeJDfd4A9zUbXSOIrcZ62eO+wmqKNNuh41zEgmgg0jR94GAvaUvMrnULhGBWlRvQ
ZWmq1y6z0l3jV9sxh1mu0sMwOf0RfRotDyUON4GPYRhrCHuf8Q70gOL8tiq8IFj7a+nvZkWYlaC/
FZzCmuSRcFM8CDQVGDIB9Ixj1J4kFVhxs+con2+DGAe1SjL68NCr9y6vv9Kl/NG3Mnr3S9WvGoAf
9jQrPIPLAf/Ny9x34EJGfHHW8BpkYrxPRmLPo/4IewpY3MT6QbPkq3DzCwjNJ2AeRBtK5w6V/mec
/9SUhewxNw5wF+NnCJn0QLQNvgP/JpXOxRLgNWm+7W4Kbd1oniA8qmG+jyYXCcXQGhJj82eXwnDa
jHtXteXb4n4xiit2gWidtTNl5bpoG3wscqb+tezS56EGPdN31YteglfVZvyn/cyb6Jup5U1CV5gn
ZH/usEHRpq2RdcvkJRHhQZbl8xRktFm3R8Tba3NTdeuqnJ9dkMxQzYjuhna+gsI0rYQ1ZBtPMr9I
WkFwaWp3kyoeM75VR+SO74wdjoo2aSto5QprKzL3OIIhTqKDcsR4B5NM3s2N3/2EIhYyNJNHrDPl
KUzlFaU6UYEyRd9x83Mx57r/3Lc4c6+XfL6ywIB+JAuFNWUHnCoq5U6HdnGa8wKfYDQl16OUavFE
YG1JCupAOlNlm8DBTRBW1UV4KBpdZTirNFHI5X7CZR5zReimNOdWb3GG4RfOBKEcIwZCQfBFCMzx
eXNvrVeT5T8FKr7z3CldK6G/jUDOu55zfqU4fZY5VjcZseY3MQd6N3xMFvdCV9BbP1e3JeafVWX4
3EHk2AiXhT4mydKw6Vcvdg8IX49EsUzWvGd0/W1IGDTQZ777lvemCrtfL5o9e246PjSdvzbCHQBe
0K1jGIauZimLg8YVdqAgvKYwGFx701Jhmo4DUCEvIcfIQOTkV1cFy6cSsy3BkeCB/VYhR+yp++I3
pXMAVPZ4J512Bj7q4u+l2vSXDwL7DmWS0x3VebsZZ8jOQu2AQGFfKu4su4z7z2mqIg5HhAal0PcU
NJKoboL2PSFeDiMnGvaMWJ7aIa6JxBGrGeNbomv9XddaWChZO7aUIKtLHQqCjZnh3pxiqqdPidif
Tk2+s7FJcvrXb26O5WIA8bETKfQB+nRxQU7KPAsi8Su/Ip05afwHAM/rH4Zf6uRrn44Tw0cqnKGh
wMca9uy39m3TJgRsiKedyvZQzUsGER+npj23xTZGwL/k5LNfO6dWr4GRPyPjQL0U1bhPCtd+I+LW
Hyons56aZtTf4dPE973GHEBEBnIYdLs9aJ9xb0qQKBN2HPAjXbn1GONALk18gM8p9akTp3k4Kk7n
v9jX0OQQ9+7OBicC4IgZH2SfDk/7kDTDsaOPhpaZ4mOmooUe6CT/EcVJtU1bB6KT5ijUX+1OIeYx
ZtUZZ6XMJs3QVhL9TqlTo/v5YyC7z4VJbQu+vjt81cPx2oGwnTKMOpo6rPsU9ZjTYt6cfD8ZN2Sv
HhIGUeux5BNfgPUeqKdxdoZZSk7b/EBLQJdePKP1kUL6LR3JZhfyRecuhd2TcMqICVxzrkQwvoTT
wAG3KpK1zJ0J/0OUHJtl1PjohNqXRQ/WvMzn7QDlaL9IMR5I2QYnKjMjZi41WmvKaZ4L2NPUCZe2
akzdyvRfJnSndyePUZqX4tKaBFJtunxxHdePIaRSvI/awhJiDd3OyfV4tuzuRQj5xst2JxqUj4ka
vC1E6hrnGy3KGlL/iyBz0fFB6eRW2BazoQrf+bYcbGZBpeUwdUzpogwqHp+6bnYyqSNy9nS5vQ0x
ejWPYPN27Rumv/sKH6F9d4WSz91qzlT1wKyiemksmoB0mDSfWZ64jynkwnvRtu42mbkaYnVL9X0u
wu/AVsNH5nFq3UAtxJDV0IcdLZgzQh8hvhn8m7yr9A3G0HyrQoN1zuDhadqIyh+rLvcW3tk1pvNq
5fpOepoTXDWAXmp/FdDADoBs+TZ1nn2I6QF5T2qNJT3LNBMO9R0lNeNwEM5rBIJ4i3zb3BVuREs2
sO4b5MlsHYRuduTxewAs2jgrXcXtwaD/3cRjRXy4rtMzIWZaSy08qcuZJnlAfB4Fww8zzKYvWpNa
cbKwkuzHibDZ2lWL/06Q2oaQNflGbvWQ/Cd3Z9IUR3KG4b/i8L06svYqR9iH3tkEgwAhXSoQiNr3
vX69n6QZGxDSzKh96HAdhQK6sjO//JZ3CR9hNFT2Qi/GqDgN/GZEZQyy4CIRSuWtHGVoDCyGKySk
LLNdgS2k0pua6UpoSNcVXcLtOOLHxNTkY2S1xEy3wu7UQ6EAnP+wdIbBX4kMx7i4LsxrL85O4gZl
qVStjhMb/EIec3dwVpPpLKtSGEeYjvEW9lSDjWP4PWfQm9/wh6rrNMny21jGTjVPP+RZE6+jrLBP
zcBV19CskGZCBD77XOSFftyYqbaaDKiNSyMvvS3W2N11X47Tx9jryqsw1o0zgZ7MqldQ/haZglyJ
EtFlr5Mi2aqFO+BNb4ctWj7ehCb3qBITJT8IOXMclAEZwsL27V5ZhYAkjbkRKNEiaWC8l7ZPL30s
sfeKETMBc9q2+EZYZZ0wsO6LOwDrmim/k/jKJv58aFMHw83MVNK5RzG5aVlq55T7O4jXoVZdemZN
9IovLcdNN24XoD1F/3JeuMJHHbO9MHwgLXRyukXtdZjQdsoHGu6wwhEJqrFlX/nMEdZgaJn8x/Bq
8YJcShHFRWsZCyCF0CeHWAqBoY13ZoJlmsdlfWOXYRQsg1hHmj4trDuLUmrrdkArqgqcZI/YELOy
pr2kpPQ4/yle1VCWcXYt+FRNcNuP3H6a2Q4rRY3FhtbHw1RD4cO0Y5rnU3/TjsG27BtQN9kITtTx
xEWNTPYKH0+BCCaGhEkITjRrsmQxBnF5rDsh1KGsXQHPPPYM2NULdgv6d3SFV3R12jO7jrSvQ25j
1JBGaaqSg4/2pqlEZ9IKLZoTw67ajW2byKH4lXAeAD+4Gxi+xSfaH8VvmVM3l37vNLf4K0XnrDx1
Ma27tdpV9jm5XC+Jz8465fQtBfZxTYCOmjupw7k5YfUwhxvnfaUHS4ZPv7w4ybDVAkZIzBPzrrZt
ew2TTEEP3C8RGohzt2kekZ5XhxXc2EmgITcwdkzNDLhCrRfuNXdpi8gOHptAIceWMhjri2o6atyx
gOWbCkaqTgMZLLfTs8aMo+vY6ryVGjjlae1b/dITcuLihcqXEY3QARjcKglyfnvb15dmXxgb5AnE
OW0Rm19doyzj13T08FUbaKKTy7pgF0otOUdkbJUGGDcw6UGzAAtBoCvduZckSyxsahD90YoKCA/7
qnhsp+o6awb3GlmkjGvXhx0P7qtOl7Y63abZ8GmqUTo0mlhbw6BYKtL0ySkaf5GPYXjs5/SEGOgc
+Umo3NS9EqKQRO+StjvUrmAKkW4fILwFBkIDVF0lVu84D7oUs+jL0HgJKv2IDBbVx7BC0H4tGm7F
eV47yFiZGKVki8ppojmeTgiuOgrQqTlTFeVDjkNRvhZKSh+HjkbwEcCqeULSlx/hHJCvgNsXH3HF
THNkaiycVIu0ZkpNw8PyECLUmotah9hKANOtK+EX5baKfYrIimolX+qeUR1DchIoWohxWMdOXc1L
n7am6G3rlveaIJumSCWULZ4X+tQBh6JiScCO+RBq0P7UH0atJOmFuIJfo5uhk0Fnsbh2RhksgQDS
Qo51T380rBiIWQ9NcRMxQ+B6o1/yCYSUfduMgX3KRCo/g/9rXzL4tI8sTdevMQb0i6VlKkFEVm2g
t9Qktfu5G51cUnzS7AiEcIOfoSFC2mkWTbvWRHJxHnUQK5YKrtrfwGXp16CMBZLEUfEY2xmaAo2L
eyKMfGDPFYT4aV66RvwAw1DgOgCsVjAZ+Riioeov40CpuXdy68uIp9g5wPLka2JPHh1T3z9vh9wA
p6ODtq1bP72LTBejWAwzQN/2Lm2IRKFgAnuK1bwLy+ujC9OrgOBtqHc1MKttXzVdCgEpsC5i4dGN
cMrav8Chht5uoKw15KhuRO02j3mm5TcMkbxPqZ/mnxXO/kqpWfmI5YyhGNnmdszC6RNussEt0nhS
Egpptc9apVh3dIGNL0k91ouuwGLFk5hpoyaFR1XJXmVskeNCMQyulDxaYSIxPCJ72y8U+jaLTBjG
vAajnS5G9MpuFMBLR/ogxrOq793PEXimhbBrtAVHJzy2aDMjNKQ0OEXllXc30WThAORJ+dnJGu94
ItcmqZ4Q0oxJAIHEpXWw9jvzissr+9ZlbX4BN0dsGDYoYMjMChZZSBKkxsqXkHYPQHxgFPRuBNha
xDU2HV4uH8BxAHQj7JcrHZDZBeMy7GgGn36XGeIOMs+0tPg41j1aVfGYwHvCSQfLTK2OzrSmT46M
fnSOpO7GcQhy6wE9TAaDOdoE5SJSbXgimhMmV7XbC7GEBJ+fETCcYolYsHWhoUmbbyiTB23RaSVV
NAz+CD8oROfIsy1bu1ejqv+NhnV/IYRXfjQB2H4zyzY5wy8+RrvAsx5dw3TOPJSTT33DVpSFpnb6
owkl4RuQy95AXSBvP2dAT26jqqptZF3tysLrQUIox94wPCB+urVlq7rLgAHpVW2W6Ec6uYlWiuHV
4lKpGuPGt9P0IfOrG9WlK5rVZCTdCFMU7p+vQnwwy/gCDP94l6L5gekXvdOWfArqvk3rfdrWDW09
0+3qdE0ZwCK3RUeCoVjFJI6joDTSZYCmGfOGwQs/jENjQhhi6kqM8DNnrftBcwKdoLJxSzGbdT+V
bJ00w2B6oTlcNgj9MYguYLuedaWBQgRbQvsgWpuGnd2gRWpatn/XIu8QL/2qvkWGp8C+FBGqoy6t
8suAL8pZG05tXNcMCMeVwOjzgdTI6OZoo473EXhfmitJYUfbwsZed8HEeBzX7Oao3sBnlp1BkITW
wnYz6wtEIiyFClL+E9/TexQP5c3mWv3GnxS69go00GPfHr9WFQKiTI77YU5pzTkhR+INGCaomgW5
hiuXPvbAHAe1lmRKHiq/92hZNljlWCNQEVU9xVoPI4YK5QFro6MbFSBCPQ7aPDQrBh46P7hSm65r
cR4x1GxV+FImu1XtHKZIENI6q9Xo3quN5Mg2QlNbJH6DR5kNghk/W6+8BwmKePVgIGnfMboZT+JY
SaTEq3WLkwnXR+RTvKWVl8bbKon1hyjBQ2esjIwCdxrVzdil2UaPO2uRRAi1gEjOGeY52VHvtwzK
bIZpFxYWhT4zyJbbpPbq+ykqVFI8Tak+wX6VDvZkE0gGP+qd6p6YiuEeR6Ct8JzVkfnjtWtJF6vO
xrFVlsxqqfFH3NssVDMUpn0baps8WFI1F4+l0+nBHE9dxEoc8zxh7rvR/NK/CtJUx+AEidhthG1K
t2ZuH6yz2rgzczFeKiha3CsWrR1UEE6hNucPralH17odJGI79blL89cob1E+AFXp5+qHpMiVSx//
rj8AYkj4w2vIFWbroKC4uDVY/IaET7xALASxsFE0LR1Z0zM8pWK+sC2QlklThNzbpKrnnapE16Lr
uEp/Dpgw3oNLAEFhCoooF8CbN/ieSVNQ+XAHZzNafnPuWkW17aqaKYJgbA+6XCBxEHC1osLYPWAJ
zLfatum66GJ13vLNxgX0Cgdh3EVSCLjwGQOmDEj9uieNZ96sqRfIz+q0ZVILIWhu1GlbWUZ+3BsR
yOgaXCpc9Hlv0hvUQWoli7aPIdHDtS2469EihaymbfAmVuYh6KClJXWf2qo1yFDMqwF/7rnZj+pF
GVr3UYaylGJ3zbZUCPhRjkTVnGIMqNSAJMbPl077HkaILBr+TTpiGXQH7TcgtpStxPIZZOtgKKkb
xIVhDGMOr288ylQgS3gfb0cdpQFmRC2C+3U7rt1kRRYgMQa9hh+x7wJLDjos19rUWkUuWGwBwWGR
DwqeCy31bhKTAOtRtM0irMF+/goSSPp267kmAy3MxFXwDI5Ezr3YeiF3SdG5lYspcoEDe+Z2U7JA
yjc4mZTmUh06a9lxOS+QfQ2OVSHab0y82qNKSLQeDTdTRdtXq3uIiBm4jZ9/uu9he9JrxHLYl3gh
mG9Bgj49PEu1UPVET5IYOui+ewr/vPqDPyNV8b5bBNcA8cgRILSrb77HgoGxUXuFu2H8OcZc3zZG
oCiILYchsb5qFPDEyBj3DdXLlgisWJchSeiwpDGOZF2juedQn2JgMxyWwszSc4j1KPHE3gSMOhRX
RRPXNz9fGvXt2hCvhWqa0iEX8Q8Cx+svrkzKiYYEe6+rNYLCpOF/bAuag4hzQGKjDLlx4/NchDlC
BVISIdXEIuiS4Hg0RnRRqnB8MCN3OH36XP833jzPL7K8a+5QjEKm6Tf6GOPlN9hpzc5jCOdg+VNJ
Rmmu8l/7T7+LJL7/i/72EvZ9n7dZIz+BH+bZS/i2qhJuXoG+nz7S0+f92W9I7nit9uHbP/+uaXgv
Y9RjsTeSPPOf/9l2Z7qlG6RIGlBVHrY7f+fFyvzo3X/+WrtF/Pn/efXB7x5S9InCuqnC++blq9uu
qqrGn3z9N7/lv6+vajMMtQSFAGfnxfu7Gl5FpFsMD3bvTzg4rPfH+UhFPPPPfPk/fntjRiwzNFDW
LAIPGNQXi2BbMxUrJ2I+yi/y2a32AW0CCAHs273WQDNnvOPTzfbeGsB8sIRrYZ63+0MH9PKAK4Rq
SZz6fgtgz3BW18GbcjXL53UkcNkEwtZtVmH3HFwkkOtAmNp9rvvhHy+D8/eR8IeHQdNn8FhYBGk/
/+IUPIUCS2D8Z+wW4OBOAcK8u/D06y+PN5tt4qbjQAnYPa/WgOvABY4qc8ADXQPJSto3HEJlQmVR
6CDD31sEx5nRUUSFnAbu03NwJ0EDbrtvNLDIB2BUuGyFdzaCPAyabbJLDvVKUC2oa5oh9g2LKF7D
BYLfJEWy5fM6KnAiAK7qGnSe3UPRdGgJwm4h9t4R6oxFcKDAvZskONpMGCp7Qt4bB7YCcA81rq59
jwRZEs0k8uF3w4KL/jkJBDcHrpdPz2Guw965MieC6Ed0cGTKzPNdtghTklUwn9eBjPoQ94PBx94v
YUILf3cUnHfXQZYOcnWcg0sUkGPTNdkF2O/9qZmg3amwwt59f1i/iKpKYvHuOBzcNUnCSFyQhN79
1sGZwT2ERAm58ul5cx7sGUtgYEaHVpB8Dm4d5Hagp7vnMpA6EhrBtD+xWuWLvk4djZkwoW1bkJWf
noO7KG0DTjtYeSyvCfEaA+N9bwxdxwSZACBzxd3zeknIM9kVmGYYu41zcIFCRfRj73rKnakumFo5
qXhRTtFUgANMgobQwNNzcMcCDxN930OhqzO2k0ne9H6MlKIJNHBQVDjURQBU/Z6P+A/6iz+sqlUb
txlhoRvxXf5MK11mlc9HZJevH1J7xdSfG16/XlYTCGihoj0unu+AN7HRlL0VKozff3x4Z+G5mtq3
v0BzxTLB9UsNj6fn9W6gy2aiycOE7LmcOrzckQ7g7kP9+m5QSRyxqgct97rZTEikXoWjpz4nEgdX
SXF/i90l9etvT/kghUtcKQPz6kIwpbUUwLLfWwqHFwnwsNg3JeAAmLpDcWS+XzQ4M4YwLhIaz4Hi
4FICQAd7h0NNzExyLSQXnkuD1+HQMSisHLpPiAk9PQeXKqKYpu2bF6nuzKCV4rAGu7d8UzbIfjsQ
eRQ3ds/BLQIwBilWslftpKozBwUX0Jnv50fuDDsnsCbPCbJsNfD3Dik72PWW9r4XufjoqKigep6/
7lex0aX3ZrMSlNP/+fFBrsO+h0KzkB5THbLldxMll8iAT4yU4to9u3B8QPtB7tV9b0gWwUT70iJP
2r3lm4uSRiNBga3wvEYHFxnI36zdh/r1NIHIwFSTUaQUAHpZNzJ9QWaOpvvBfffPA8j/QYoAc0i2
IV5fiwQBciaA97/Xkof3vb/jTPpXC0U2/1PFrD5Pod90lx1SBwsdGNShdpHw4BKk9yQY//IicMTJ
ENH8er9MsmdYRHNZsE2enr+wE/5ErATbJP/XffLtrvrXvwEAAP//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393700</xdr:colOff>
      <xdr:row>1</xdr:row>
      <xdr:rowOff>88900</xdr:rowOff>
    </xdr:from>
    <xdr:to>
      <xdr:col>10</xdr:col>
      <xdr:colOff>88900</xdr:colOff>
      <xdr:row>16</xdr:row>
      <xdr:rowOff>69850</xdr:rowOff>
    </xdr:to>
    <xdr:graphicFrame macro="">
      <xdr:nvGraphicFramePr>
        <xdr:cNvPr id="3" name="Chart 2">
          <a:extLst>
            <a:ext uri="{FF2B5EF4-FFF2-40B4-BE49-F238E27FC236}">
              <a16:creationId xmlns:a16="http://schemas.microsoft.com/office/drawing/2014/main" id="{BB4A843D-4092-8196-726A-F4954704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1082675</xdr:colOff>
      <xdr:row>3</xdr:row>
      <xdr:rowOff>53975</xdr:rowOff>
    </xdr:from>
    <xdr:to>
      <xdr:col>8</xdr:col>
      <xdr:colOff>155575</xdr:colOff>
      <xdr:row>18</xdr:row>
      <xdr:rowOff>34925</xdr:rowOff>
    </xdr:to>
    <xdr:graphicFrame macro="">
      <xdr:nvGraphicFramePr>
        <xdr:cNvPr id="3" name="Chart 2">
          <a:extLst>
            <a:ext uri="{FF2B5EF4-FFF2-40B4-BE49-F238E27FC236}">
              <a16:creationId xmlns:a16="http://schemas.microsoft.com/office/drawing/2014/main" id="{A98AA78E-0443-0E7F-AD00-7F24667CA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1</xdr:row>
      <xdr:rowOff>82550</xdr:rowOff>
    </xdr:from>
    <xdr:to>
      <xdr:col>10</xdr:col>
      <xdr:colOff>158750</xdr:colOff>
      <xdr:row>14</xdr:row>
      <xdr:rowOff>171450</xdr:rowOff>
    </xdr:to>
    <xdr:graphicFrame macro="">
      <xdr:nvGraphicFramePr>
        <xdr:cNvPr id="2" name="Chart 1">
          <a:extLst>
            <a:ext uri="{FF2B5EF4-FFF2-40B4-BE49-F238E27FC236}">
              <a16:creationId xmlns:a16="http://schemas.microsoft.com/office/drawing/2014/main" id="{02554FBB-CE8E-E597-F458-87F994081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371432</xdr:colOff>
      <xdr:row>1</xdr:row>
      <xdr:rowOff>120215</xdr:rowOff>
    </xdr:from>
    <xdr:to>
      <xdr:col>5</xdr:col>
      <xdr:colOff>263569</xdr:colOff>
      <xdr:row>16</xdr:row>
      <xdr:rowOff>123346</xdr:rowOff>
    </xdr:to>
    <xdr:graphicFrame macro="">
      <xdr:nvGraphicFramePr>
        <xdr:cNvPr id="2" name="Chart 1">
          <a:extLst>
            <a:ext uri="{FF2B5EF4-FFF2-40B4-BE49-F238E27FC236}">
              <a16:creationId xmlns:a16="http://schemas.microsoft.com/office/drawing/2014/main" id="{5FD6BD82-93F2-5119-8F7A-D046BB761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276225</xdr:colOff>
      <xdr:row>2</xdr:row>
      <xdr:rowOff>95250</xdr:rowOff>
    </xdr:from>
    <xdr:to>
      <xdr:col>5</xdr:col>
      <xdr:colOff>1873250</xdr:colOff>
      <xdr:row>17</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87A4A51-6500-1EB2-360F-85B0CBDBF2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51775" y="463550"/>
              <a:ext cx="343852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495300</xdr:colOff>
      <xdr:row>18</xdr:row>
      <xdr:rowOff>6350</xdr:rowOff>
    </xdr:from>
    <xdr:to>
      <xdr:col>5</xdr:col>
      <xdr:colOff>482600</xdr:colOff>
      <xdr:row>28</xdr:row>
      <xdr:rowOff>158750</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E28D3A5-52C8-25A2-0538-1330FD2C72C6}"/>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8072967" y="3359150"/>
              <a:ext cx="1833033" cy="201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2127250</xdr:colOff>
      <xdr:row>3</xdr:row>
      <xdr:rowOff>88900</xdr:rowOff>
    </xdr:from>
    <xdr:to>
      <xdr:col>8</xdr:col>
      <xdr:colOff>86783</xdr:colOff>
      <xdr:row>17</xdr:row>
      <xdr:rowOff>100539</xdr:rowOff>
    </xdr:to>
    <mc:AlternateContent xmlns:mc="http://schemas.openxmlformats.org/markup-compatibility/2006" xmlns:a14="http://schemas.microsoft.com/office/drawing/2010/main">
      <mc:Choice Requires="a14">
        <xdr:graphicFrame macro="">
          <xdr:nvGraphicFramePr>
            <xdr:cNvPr id="4" name="State/UT">
              <a:extLst>
                <a:ext uri="{FF2B5EF4-FFF2-40B4-BE49-F238E27FC236}">
                  <a16:creationId xmlns:a16="http://schemas.microsoft.com/office/drawing/2014/main" id="{4D1B0835-0D90-03E1-22FD-3624B97D084E}"/>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11550650" y="6477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212725</xdr:colOff>
      <xdr:row>2</xdr:row>
      <xdr:rowOff>63500</xdr:rowOff>
    </xdr:from>
    <xdr:to>
      <xdr:col>11</xdr:col>
      <xdr:colOff>517525</xdr:colOff>
      <xdr:row>17</xdr:row>
      <xdr:rowOff>44450</xdr:rowOff>
    </xdr:to>
    <xdr:graphicFrame macro="">
      <xdr:nvGraphicFramePr>
        <xdr:cNvPr id="3" name="Chart 2">
          <a:extLst>
            <a:ext uri="{FF2B5EF4-FFF2-40B4-BE49-F238E27FC236}">
              <a16:creationId xmlns:a16="http://schemas.microsoft.com/office/drawing/2014/main" id="{E2E375AE-83BE-039C-F087-6744F4224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560326</xdr:colOff>
      <xdr:row>1</xdr:row>
      <xdr:rowOff>141111</xdr:rowOff>
    </xdr:from>
    <xdr:to>
      <xdr:col>29</xdr:col>
      <xdr:colOff>47625</xdr:colOff>
      <xdr:row>11</xdr:row>
      <xdr:rowOff>39602</xdr:rowOff>
    </xdr:to>
    <xdr:sp macro="" textlink="">
      <xdr:nvSpPr>
        <xdr:cNvPr id="3" name="TextBox 2">
          <a:extLst>
            <a:ext uri="{FF2B5EF4-FFF2-40B4-BE49-F238E27FC236}">
              <a16:creationId xmlns:a16="http://schemas.microsoft.com/office/drawing/2014/main" id="{8ED2D6FE-2C8F-0FF0-84AF-129B63FF48D1}"/>
            </a:ext>
          </a:extLst>
        </xdr:cNvPr>
        <xdr:cNvSpPr txBox="1"/>
      </xdr:nvSpPr>
      <xdr:spPr>
        <a:xfrm>
          <a:off x="9577326" y="331611"/>
          <a:ext cx="10345799" cy="18034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rgbClr val="0B4F8A"/>
              </a:solidFill>
            </a:rPr>
            <a:t>State-wise Analysis of Public &amp; Community Toilet Infrastructure in India</a:t>
          </a:r>
        </a:p>
      </xdr:txBody>
    </xdr:sp>
    <xdr:clientData/>
  </xdr:twoCellAnchor>
  <xdr:twoCellAnchor>
    <xdr:from>
      <xdr:col>6</xdr:col>
      <xdr:colOff>108898</xdr:colOff>
      <xdr:row>11</xdr:row>
      <xdr:rowOff>80319</xdr:rowOff>
    </xdr:from>
    <xdr:to>
      <xdr:col>14</xdr:col>
      <xdr:colOff>12685</xdr:colOff>
      <xdr:row>17</xdr:row>
      <xdr:rowOff>161729</xdr:rowOff>
    </xdr:to>
    <xdr:sp macro="" textlink="">
      <xdr:nvSpPr>
        <xdr:cNvPr id="4" name="TextBox 3">
          <a:extLst>
            <a:ext uri="{FF2B5EF4-FFF2-40B4-BE49-F238E27FC236}">
              <a16:creationId xmlns:a16="http://schemas.microsoft.com/office/drawing/2014/main" id="{67F7F4DA-9FD2-7346-4F45-B495859E4232}"/>
            </a:ext>
          </a:extLst>
        </xdr:cNvPr>
        <xdr:cNvSpPr txBox="1"/>
      </xdr:nvSpPr>
      <xdr:spPr>
        <a:xfrm>
          <a:off x="6109648" y="2175819"/>
          <a:ext cx="4729787" cy="1224410"/>
        </a:xfrm>
        <a:prstGeom prst="flowChartAlternateProcess">
          <a:avLst/>
        </a:prstGeom>
        <a:solidFill>
          <a:schemeClr val="accent1"/>
        </a:solidFill>
        <a:ln w="9525" cmpd="sng">
          <a:solidFill>
            <a:srgbClr val="0B4F8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Total Public Seats Constructed I</a:t>
          </a:r>
          <a:r>
            <a:rPr lang="en-IN" sz="2800" b="1">
              <a:solidFill>
                <a:schemeClr val="bg1"/>
              </a:solidFill>
            </a:rPr>
            <a:t>n</a:t>
          </a:r>
          <a:r>
            <a:rPr lang="en-IN" sz="2800">
              <a:solidFill>
                <a:schemeClr val="bg1"/>
              </a:solidFill>
            </a:rPr>
            <a:t> 2019:  </a:t>
          </a:r>
          <a:r>
            <a:rPr lang="en-IN" sz="2800" b="1">
              <a:solidFill>
                <a:srgbClr val="FF9800"/>
              </a:solidFill>
            </a:rPr>
            <a:t>561298</a:t>
          </a:r>
        </a:p>
      </xdr:txBody>
    </xdr:sp>
    <xdr:clientData/>
  </xdr:twoCellAnchor>
  <xdr:twoCellAnchor>
    <xdr:from>
      <xdr:col>14</xdr:col>
      <xdr:colOff>483670</xdr:colOff>
      <xdr:row>11</xdr:row>
      <xdr:rowOff>80319</xdr:rowOff>
    </xdr:from>
    <xdr:to>
      <xdr:col>22</xdr:col>
      <xdr:colOff>384713</xdr:colOff>
      <xdr:row>17</xdr:row>
      <xdr:rowOff>182158</xdr:rowOff>
    </xdr:to>
    <xdr:sp macro="" textlink="">
      <xdr:nvSpPr>
        <xdr:cNvPr id="8" name="TextBox 7">
          <a:extLst>
            <a:ext uri="{FF2B5EF4-FFF2-40B4-BE49-F238E27FC236}">
              <a16:creationId xmlns:a16="http://schemas.microsoft.com/office/drawing/2014/main" id="{993C1E90-5025-470B-978E-E789F0B47FB5}"/>
            </a:ext>
          </a:extLst>
        </xdr:cNvPr>
        <xdr:cNvSpPr txBox="1"/>
      </xdr:nvSpPr>
      <xdr:spPr>
        <a:xfrm>
          <a:off x="11310420" y="2175819"/>
          <a:ext cx="4727043" cy="1244839"/>
        </a:xfrm>
        <a:prstGeom prst="flowChartAlternateProcess">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Total Public Seats Constructed Untill</a:t>
          </a:r>
          <a:r>
            <a:rPr lang="en-IN" sz="2800" baseline="0">
              <a:solidFill>
                <a:schemeClr val="bg1"/>
              </a:solidFill>
            </a:rPr>
            <a:t> 2021</a:t>
          </a:r>
          <a:r>
            <a:rPr lang="en-IN" sz="2400">
              <a:solidFill>
                <a:schemeClr val="bg1"/>
              </a:solidFill>
            </a:rPr>
            <a:t>:  </a:t>
          </a:r>
          <a:r>
            <a:rPr lang="en-IN" sz="2800" b="1">
              <a:solidFill>
                <a:srgbClr val="FF9800"/>
              </a:solidFill>
            </a:rPr>
            <a:t>609509</a:t>
          </a:r>
        </a:p>
      </xdr:txBody>
    </xdr:sp>
    <xdr:clientData/>
  </xdr:twoCellAnchor>
  <xdr:twoCellAnchor>
    <xdr:from>
      <xdr:col>23</xdr:col>
      <xdr:colOff>93698</xdr:colOff>
      <xdr:row>11</xdr:row>
      <xdr:rowOff>80319</xdr:rowOff>
    </xdr:from>
    <xdr:to>
      <xdr:col>31</xdr:col>
      <xdr:colOff>33749</xdr:colOff>
      <xdr:row>17</xdr:row>
      <xdr:rowOff>178010</xdr:rowOff>
    </xdr:to>
    <xdr:sp macro="" textlink="">
      <xdr:nvSpPr>
        <xdr:cNvPr id="10" name="TextBox 9">
          <a:extLst>
            <a:ext uri="{FF2B5EF4-FFF2-40B4-BE49-F238E27FC236}">
              <a16:creationId xmlns:a16="http://schemas.microsoft.com/office/drawing/2014/main" id="{B70179A4-FB43-4EAC-A245-7A8DB3D0ADC2}"/>
            </a:ext>
          </a:extLst>
        </xdr:cNvPr>
        <xdr:cNvSpPr txBox="1"/>
      </xdr:nvSpPr>
      <xdr:spPr>
        <a:xfrm>
          <a:off x="16349698" y="2175819"/>
          <a:ext cx="4766051" cy="1240691"/>
        </a:xfrm>
        <a:prstGeom prst="flowChartAlternateProcess">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Total Public Seats Constructed Untill</a:t>
          </a:r>
          <a:r>
            <a:rPr lang="en-IN" sz="2800" baseline="0">
              <a:solidFill>
                <a:schemeClr val="bg1"/>
              </a:solidFill>
            </a:rPr>
            <a:t> 2023</a:t>
          </a:r>
          <a:r>
            <a:rPr lang="en-IN" sz="2800">
              <a:solidFill>
                <a:schemeClr val="bg1"/>
              </a:solidFill>
            </a:rPr>
            <a:t>:  </a:t>
          </a:r>
          <a:r>
            <a:rPr lang="en-IN" sz="2800" b="1">
              <a:solidFill>
                <a:srgbClr val="FF9800"/>
              </a:solidFill>
            </a:rPr>
            <a:t>636826</a:t>
          </a:r>
        </a:p>
      </xdr:txBody>
    </xdr:sp>
    <xdr:clientData/>
  </xdr:twoCellAnchor>
  <xdr:twoCellAnchor editAs="oneCell">
    <xdr:from>
      <xdr:col>9</xdr:col>
      <xdr:colOff>111751</xdr:colOff>
      <xdr:row>2</xdr:row>
      <xdr:rowOff>83416</xdr:rowOff>
    </xdr:from>
    <xdr:to>
      <xdr:col>11</xdr:col>
      <xdr:colOff>240800</xdr:colOff>
      <xdr:row>9</xdr:row>
      <xdr:rowOff>139881</xdr:rowOff>
    </xdr:to>
    <xdr:pic>
      <xdr:nvPicPr>
        <xdr:cNvPr id="11" name="Picture 10">
          <a:extLst>
            <a:ext uri="{FF2B5EF4-FFF2-40B4-BE49-F238E27FC236}">
              <a16:creationId xmlns:a16="http://schemas.microsoft.com/office/drawing/2014/main" id="{488192C8-AF30-6018-5792-16E084E30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2251" y="464416"/>
          <a:ext cx="1335549" cy="138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551894</xdr:colOff>
      <xdr:row>20</xdr:row>
      <xdr:rowOff>95250</xdr:rowOff>
    </xdr:from>
    <xdr:to>
      <xdr:col>14</xdr:col>
      <xdr:colOff>63500</xdr:colOff>
      <xdr:row>39</xdr:row>
      <xdr:rowOff>98777</xdr:rowOff>
    </xdr:to>
    <xdr:graphicFrame macro="">
      <xdr:nvGraphicFramePr>
        <xdr:cNvPr id="13" name="Chart 12">
          <a:extLst>
            <a:ext uri="{FF2B5EF4-FFF2-40B4-BE49-F238E27FC236}">
              <a16:creationId xmlns:a16="http://schemas.microsoft.com/office/drawing/2014/main" id="{20A93718-2840-4434-89C7-C61016FB3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520012</xdr:colOff>
      <xdr:row>41</xdr:row>
      <xdr:rowOff>43763</xdr:rowOff>
    </xdr:from>
    <xdr:to>
      <xdr:col>15</xdr:col>
      <xdr:colOff>59229</xdr:colOff>
      <xdr:row>60</xdr:row>
      <xdr:rowOff>98444</xdr:rowOff>
    </xdr:to>
    <xdr:graphicFrame macro="">
      <xdr:nvGraphicFramePr>
        <xdr:cNvPr id="14" name="Chart 13">
          <a:extLst>
            <a:ext uri="{FF2B5EF4-FFF2-40B4-BE49-F238E27FC236}">
              <a16:creationId xmlns:a16="http://schemas.microsoft.com/office/drawing/2014/main" id="{87E2A40F-BE96-42C7-82F8-FAAFA8A48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275166</xdr:colOff>
      <xdr:row>21</xdr:row>
      <xdr:rowOff>158750</xdr:rowOff>
    </xdr:from>
    <xdr:to>
      <xdr:col>25</xdr:col>
      <xdr:colOff>190500</xdr:colOff>
      <xdr:row>58</xdr:row>
      <xdr:rowOff>158750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CAB30285-3409-4F02-8866-DCC8D3F59E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74866" y="4025900"/>
              <a:ext cx="7230534" cy="6813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32</xdr:col>
      <xdr:colOff>571501</xdr:colOff>
      <xdr:row>37</xdr:row>
      <xdr:rowOff>185266</xdr:rowOff>
    </xdr:from>
    <xdr:to>
      <xdr:col>38</xdr:col>
      <xdr:colOff>160915</xdr:colOff>
      <xdr:row>50</xdr:row>
      <xdr:rowOff>0</xdr:rowOff>
    </xdr:to>
    <mc:AlternateContent xmlns:mc="http://schemas.openxmlformats.org/markup-compatibility/2006" xmlns:a14="http://schemas.microsoft.com/office/drawing/2010/main">
      <mc:Choice Requires="a14">
        <xdr:graphicFrame macro="">
          <xdr:nvGraphicFramePr>
            <xdr:cNvPr id="19" name="Years 2">
              <a:extLst>
                <a:ext uri="{FF2B5EF4-FFF2-40B4-BE49-F238E27FC236}">
                  <a16:creationId xmlns:a16="http://schemas.microsoft.com/office/drawing/2014/main" id="{5A56D82C-CFD7-4BC5-AF07-5810342153DE}"/>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22710690" y="7170266"/>
              <a:ext cx="3296441" cy="2268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273914</xdr:colOff>
      <xdr:row>11</xdr:row>
      <xdr:rowOff>80319</xdr:rowOff>
    </xdr:from>
    <xdr:to>
      <xdr:col>5</xdr:col>
      <xdr:colOff>499203</xdr:colOff>
      <xdr:row>21</xdr:row>
      <xdr:rowOff>14491</xdr:rowOff>
    </xdr:to>
    <xdr:sp macro="" textlink="">
      <xdr:nvSpPr>
        <xdr:cNvPr id="20" name="TextBox 19">
          <a:extLst>
            <a:ext uri="{FF2B5EF4-FFF2-40B4-BE49-F238E27FC236}">
              <a16:creationId xmlns:a16="http://schemas.microsoft.com/office/drawing/2014/main" id="{31442DEB-CEF6-A25D-40A8-7BFB326DD03D}"/>
            </a:ext>
          </a:extLst>
        </xdr:cNvPr>
        <xdr:cNvSpPr txBox="1"/>
      </xdr:nvSpPr>
      <xdr:spPr>
        <a:xfrm>
          <a:off x="1480414" y="2175819"/>
          <a:ext cx="4416289" cy="1839172"/>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Highest</a:t>
          </a:r>
          <a:r>
            <a:rPr lang="en-IN" sz="2800" baseline="0">
              <a:solidFill>
                <a:schemeClr val="bg1"/>
              </a:solidFill>
            </a:rPr>
            <a:t> Seats ( 2023)</a:t>
          </a:r>
        </a:p>
        <a:p>
          <a:r>
            <a:rPr lang="en-IN" sz="2800" baseline="0">
              <a:solidFill>
                <a:schemeClr val="bg1"/>
              </a:solidFill>
            </a:rPr>
            <a:t>State: </a:t>
          </a:r>
          <a:r>
            <a:rPr lang="en-IN" sz="3200" baseline="0">
              <a:solidFill>
                <a:srgbClr val="FF9800"/>
              </a:solidFill>
            </a:rPr>
            <a:t>Maharastra</a:t>
          </a:r>
        </a:p>
        <a:p>
          <a:r>
            <a:rPr lang="en-IN" sz="2800" baseline="0">
              <a:solidFill>
                <a:schemeClr val="bg1"/>
              </a:solidFill>
            </a:rPr>
            <a:t>No. of Seats: </a:t>
          </a:r>
          <a:r>
            <a:rPr lang="en-IN" sz="4000" baseline="0">
              <a:solidFill>
                <a:srgbClr val="FF9800"/>
              </a:solidFill>
            </a:rPr>
            <a:t>166465</a:t>
          </a:r>
          <a:endParaRPr lang="en-IN" sz="4000">
            <a:solidFill>
              <a:srgbClr val="FF9800"/>
            </a:solidFill>
          </a:endParaRPr>
        </a:p>
      </xdr:txBody>
    </xdr:sp>
    <xdr:clientData/>
  </xdr:twoCellAnchor>
  <xdr:twoCellAnchor>
    <xdr:from>
      <xdr:col>24</xdr:col>
      <xdr:colOff>346283</xdr:colOff>
      <xdr:row>20</xdr:row>
      <xdr:rowOff>95250</xdr:rowOff>
    </xdr:from>
    <xdr:to>
      <xdr:col>32</xdr:col>
      <xdr:colOff>193468</xdr:colOff>
      <xdr:row>37</xdr:row>
      <xdr:rowOff>127354</xdr:rowOff>
    </xdr:to>
    <xdr:graphicFrame macro="">
      <xdr:nvGraphicFramePr>
        <xdr:cNvPr id="21" name="Chart 20">
          <a:extLst>
            <a:ext uri="{FF2B5EF4-FFF2-40B4-BE49-F238E27FC236}">
              <a16:creationId xmlns:a16="http://schemas.microsoft.com/office/drawing/2014/main" id="{5731D374-0BC7-42C7-AF1E-61F54F2B7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142889</xdr:colOff>
      <xdr:row>22</xdr:row>
      <xdr:rowOff>154004</xdr:rowOff>
    </xdr:from>
    <xdr:to>
      <xdr:col>5</xdr:col>
      <xdr:colOff>471477</xdr:colOff>
      <xdr:row>34</xdr:row>
      <xdr:rowOff>146217</xdr:rowOff>
    </xdr:to>
    <xdr:sp macro="" textlink="">
      <xdr:nvSpPr>
        <xdr:cNvPr id="22" name="TextBox 21">
          <a:extLst>
            <a:ext uri="{FF2B5EF4-FFF2-40B4-BE49-F238E27FC236}">
              <a16:creationId xmlns:a16="http://schemas.microsoft.com/office/drawing/2014/main" id="{25448382-EDDE-4606-972E-5241E7577971}"/>
            </a:ext>
          </a:extLst>
        </xdr:cNvPr>
        <xdr:cNvSpPr txBox="1"/>
      </xdr:nvSpPr>
      <xdr:spPr>
        <a:xfrm>
          <a:off x="1349389" y="4345004"/>
          <a:ext cx="4519588" cy="2278213"/>
        </a:xfrm>
        <a:prstGeom prst="flowChartAlternateProcess">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aseline="0">
              <a:solidFill>
                <a:schemeClr val="bg1"/>
              </a:solidFill>
            </a:rPr>
            <a:t>Least Seats (2023)</a:t>
          </a:r>
        </a:p>
        <a:p>
          <a:r>
            <a:rPr lang="en-IN" sz="2800" baseline="0">
              <a:solidFill>
                <a:schemeClr val="bg1"/>
              </a:solidFill>
            </a:rPr>
            <a:t>State</a:t>
          </a:r>
          <a:r>
            <a:rPr lang="en-IN" sz="3200" baseline="0">
              <a:solidFill>
                <a:schemeClr val="bg1"/>
              </a:solidFill>
            </a:rPr>
            <a:t>: </a:t>
          </a:r>
          <a:r>
            <a:rPr lang="en-IN" sz="3200" baseline="0">
              <a:solidFill>
                <a:srgbClr val="FF9800"/>
              </a:solidFill>
            </a:rPr>
            <a:t>Arunachal Pradesh</a:t>
          </a:r>
        </a:p>
        <a:p>
          <a:r>
            <a:rPr lang="en-IN" sz="2800" baseline="0">
              <a:solidFill>
                <a:schemeClr val="bg1"/>
              </a:solidFill>
            </a:rPr>
            <a:t>No. of Seats:</a:t>
          </a:r>
          <a:r>
            <a:rPr lang="en-IN" sz="2800" baseline="0"/>
            <a:t> </a:t>
          </a:r>
          <a:r>
            <a:rPr lang="en-IN" sz="4000" baseline="0">
              <a:solidFill>
                <a:srgbClr val="FF9800"/>
              </a:solidFill>
            </a:rPr>
            <a:t>89</a:t>
          </a:r>
          <a:endParaRPr lang="en-IN" sz="4000">
            <a:solidFill>
              <a:srgbClr val="FF9800"/>
            </a:solidFill>
          </a:endParaRPr>
        </a:p>
      </xdr:txBody>
    </xdr:sp>
    <xdr:clientData/>
  </xdr:twoCellAnchor>
  <xdr:twoCellAnchor>
    <xdr:from>
      <xdr:col>24</xdr:col>
      <xdr:colOff>349250</xdr:colOff>
      <xdr:row>40</xdr:row>
      <xdr:rowOff>33135</xdr:rowOff>
    </xdr:from>
    <xdr:to>
      <xdr:col>32</xdr:col>
      <xdr:colOff>364480</xdr:colOff>
      <xdr:row>58</xdr:row>
      <xdr:rowOff>71233</xdr:rowOff>
    </xdr:to>
    <xdr:graphicFrame macro="">
      <xdr:nvGraphicFramePr>
        <xdr:cNvPr id="24" name="Chart 23">
          <a:extLst>
            <a:ext uri="{FF2B5EF4-FFF2-40B4-BE49-F238E27FC236}">
              <a16:creationId xmlns:a16="http://schemas.microsoft.com/office/drawing/2014/main" id="{787664DF-D0D0-467F-9EA6-294DF2CCC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330108</xdr:colOff>
      <xdr:row>11</xdr:row>
      <xdr:rowOff>80319</xdr:rowOff>
    </xdr:from>
    <xdr:to>
      <xdr:col>38</xdr:col>
      <xdr:colOff>222250</xdr:colOff>
      <xdr:row>22</xdr:row>
      <xdr:rowOff>54721</xdr:rowOff>
    </xdr:to>
    <xdr:sp macro="" textlink="">
      <xdr:nvSpPr>
        <xdr:cNvPr id="25" name="TextBox 24">
          <a:extLst>
            <a:ext uri="{FF2B5EF4-FFF2-40B4-BE49-F238E27FC236}">
              <a16:creationId xmlns:a16="http://schemas.microsoft.com/office/drawing/2014/main" id="{7B8CF63E-6417-3533-37B2-FD8C844BB6D9}"/>
            </a:ext>
          </a:extLst>
        </xdr:cNvPr>
        <xdr:cNvSpPr txBox="1"/>
      </xdr:nvSpPr>
      <xdr:spPr>
        <a:xfrm>
          <a:off x="21412108" y="2175819"/>
          <a:ext cx="4114892" cy="2069902"/>
        </a:xfrm>
        <a:prstGeom prst="flowChartAlternateProcess">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Nationa</a:t>
          </a:r>
          <a:r>
            <a:rPr lang="en-IN" sz="2800" b="1" baseline="0">
              <a:solidFill>
                <a:schemeClr val="bg1"/>
              </a:solidFill>
            </a:rPr>
            <a:t>l Growth Trend</a:t>
          </a:r>
          <a:endParaRPr lang="en-IN" sz="2800" b="1">
            <a:solidFill>
              <a:srgbClr val="FF9800"/>
            </a:solidFill>
            <a:latin typeface="+mn-lt"/>
            <a:ea typeface="+mn-ea"/>
            <a:cs typeface="+mn-cs"/>
          </a:endParaRPr>
        </a:p>
        <a:p>
          <a:r>
            <a:rPr lang="en-IN" sz="2800" b="1" baseline="0">
              <a:solidFill>
                <a:schemeClr val="bg1"/>
              </a:solidFill>
            </a:rPr>
            <a:t>2019- 2021= </a:t>
          </a:r>
          <a:r>
            <a:rPr lang="en-IN" sz="2800" b="1" baseline="0">
              <a:solidFill>
                <a:srgbClr val="FF9800"/>
              </a:solidFill>
              <a:latin typeface="+mn-lt"/>
              <a:ea typeface="+mn-ea"/>
              <a:cs typeface="+mn-cs"/>
            </a:rPr>
            <a:t>+8.6%</a:t>
          </a:r>
          <a:endParaRPr lang="en-IN" sz="2800" b="1">
            <a:solidFill>
              <a:srgbClr val="FF9800"/>
            </a:solidFill>
            <a:latin typeface="+mn-lt"/>
            <a:ea typeface="+mn-ea"/>
            <a:cs typeface="+mn-cs"/>
          </a:endParaRPr>
        </a:p>
        <a:p>
          <a:r>
            <a:rPr lang="en-IN" sz="2800" b="1" baseline="0">
              <a:solidFill>
                <a:schemeClr val="bg1"/>
              </a:solidFill>
            </a:rPr>
            <a:t>2021-2023= </a:t>
          </a:r>
          <a:r>
            <a:rPr lang="en-IN" sz="2800" b="1" baseline="0">
              <a:solidFill>
                <a:srgbClr val="FF9800"/>
              </a:solidFill>
              <a:latin typeface="+mn-lt"/>
              <a:ea typeface="+mn-ea"/>
              <a:cs typeface="+mn-cs"/>
            </a:rPr>
            <a:t>+4.5%</a:t>
          </a:r>
        </a:p>
        <a:p>
          <a:r>
            <a:rPr lang="en-IN" sz="2800" b="1" baseline="0">
              <a:solidFill>
                <a:schemeClr val="bg1"/>
              </a:solidFill>
            </a:rPr>
            <a:t>Overall </a:t>
          </a:r>
          <a:r>
            <a:rPr lang="en-IN" sz="2800" b="1">
              <a:solidFill>
                <a:schemeClr val="bg1"/>
              </a:solidFill>
              <a:latin typeface="+mn-lt"/>
              <a:ea typeface="+mn-ea"/>
              <a:cs typeface="+mn-cs"/>
            </a:rPr>
            <a:t>Growth=</a:t>
          </a:r>
          <a:r>
            <a:rPr lang="en-IN" sz="2800" b="1" baseline="0">
              <a:solidFill>
                <a:schemeClr val="bg1"/>
              </a:solidFill>
              <a:latin typeface="+mn-lt"/>
              <a:ea typeface="+mn-ea"/>
              <a:cs typeface="+mn-cs"/>
            </a:rPr>
            <a:t> </a:t>
          </a:r>
          <a:r>
            <a:rPr lang="en-IN" sz="2800" b="1">
              <a:solidFill>
                <a:srgbClr val="FF9800"/>
              </a:solidFill>
              <a:latin typeface="+mn-lt"/>
              <a:ea typeface="+mn-ea"/>
              <a:cs typeface="+mn-cs"/>
            </a:rPr>
            <a:t>+13.5%</a:t>
          </a:r>
        </a:p>
      </xdr:txBody>
    </xdr:sp>
    <xdr:clientData/>
  </xdr:twoCellAnchor>
  <xdr:twoCellAnchor editAs="oneCell">
    <xdr:from>
      <xdr:col>32</xdr:col>
      <xdr:colOff>547687</xdr:colOff>
      <xdr:row>24</xdr:row>
      <xdr:rowOff>47623</xdr:rowOff>
    </xdr:from>
    <xdr:to>
      <xdr:col>38</xdr:col>
      <xdr:colOff>182562</xdr:colOff>
      <xdr:row>35</xdr:row>
      <xdr:rowOff>127001</xdr:rowOff>
    </xdr:to>
    <mc:AlternateContent xmlns:mc="http://schemas.openxmlformats.org/markup-compatibility/2006" xmlns:a14="http://schemas.microsoft.com/office/drawing/2010/main">
      <mc:Choice Requires="a14">
        <xdr:graphicFrame macro="">
          <xdr:nvGraphicFramePr>
            <xdr:cNvPr id="2" name="State/UT 1">
              <a:extLst>
                <a:ext uri="{FF2B5EF4-FFF2-40B4-BE49-F238E27FC236}">
                  <a16:creationId xmlns:a16="http://schemas.microsoft.com/office/drawing/2014/main" id="{C99BFC19-3B60-4492-BB12-D60D5A24E6E9}"/>
                </a:ext>
              </a:extLst>
            </xdr:cNvPr>
            <xdr:cNvGraphicFramePr/>
          </xdr:nvGraphicFramePr>
          <xdr:xfrm>
            <a:off x="0" y="0"/>
            <a:ext cx="0" cy="0"/>
          </xdr:xfrm>
          <a:graphic>
            <a:graphicData uri="http://schemas.microsoft.com/office/drawing/2010/slicer">
              <sle:slicer xmlns:sle="http://schemas.microsoft.com/office/drawing/2010/slicer" name="State/UT 1"/>
            </a:graphicData>
          </a:graphic>
        </xdr:graphicFrame>
      </mc:Choice>
      <mc:Fallback xmlns="">
        <xdr:sp macro="" textlink="">
          <xdr:nvSpPr>
            <xdr:cNvPr id="0" name=""/>
            <xdr:cNvSpPr>
              <a:spLocks noTextEdit="1"/>
            </xdr:cNvSpPr>
          </xdr:nvSpPr>
          <xdr:spPr>
            <a:xfrm>
              <a:off x="22686876" y="4578434"/>
              <a:ext cx="3341902" cy="215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51486</xdr:colOff>
      <xdr:row>37</xdr:row>
      <xdr:rowOff>0</xdr:rowOff>
    </xdr:from>
    <xdr:to>
      <xdr:col>5</xdr:col>
      <xdr:colOff>463378</xdr:colOff>
      <xdr:row>60</xdr:row>
      <xdr:rowOff>34324</xdr:rowOff>
    </xdr:to>
    <xdr:sp macro="" textlink="">
      <xdr:nvSpPr>
        <xdr:cNvPr id="5" name="TextBox 4">
          <a:extLst>
            <a:ext uri="{FF2B5EF4-FFF2-40B4-BE49-F238E27FC236}">
              <a16:creationId xmlns:a16="http://schemas.microsoft.com/office/drawing/2014/main" id="{50CA970F-75CA-C8D3-7F52-BA5E377B9D9B}"/>
            </a:ext>
          </a:extLst>
        </xdr:cNvPr>
        <xdr:cNvSpPr txBox="1"/>
      </xdr:nvSpPr>
      <xdr:spPr>
        <a:xfrm>
          <a:off x="1287162" y="6985000"/>
          <a:ext cx="4633784" cy="4376351"/>
        </a:xfrm>
        <a:prstGeom prst="flowChartAlternateProcess">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Key Findings</a:t>
          </a:r>
        </a:p>
        <a:p>
          <a:r>
            <a:rPr lang="en-IN" sz="2400" baseline="0">
              <a:solidFill>
                <a:srgbClr val="FF9800"/>
              </a:solidFill>
              <a:latin typeface="+mn-lt"/>
              <a:ea typeface="+mn-ea"/>
              <a:cs typeface="+mn-cs"/>
            </a:rPr>
            <a:t>• Maharashtra leads with 166,465 seats.</a:t>
          </a:r>
        </a:p>
        <a:p>
          <a:r>
            <a:rPr lang="en-IN" sz="2400" baseline="0">
              <a:solidFill>
                <a:srgbClr val="FF9800"/>
              </a:solidFill>
              <a:latin typeface="+mn-lt"/>
              <a:ea typeface="+mn-ea"/>
              <a:cs typeface="+mn-cs"/>
            </a:rPr>
            <a:t>• Public toilet infrastructure grew by 13.5% between 2019 and 2023.</a:t>
          </a:r>
        </a:p>
        <a:p>
          <a:r>
            <a:rPr lang="en-IN" sz="2400" baseline="0">
              <a:solidFill>
                <a:srgbClr val="FF9800"/>
              </a:solidFill>
              <a:latin typeface="+mn-lt"/>
              <a:ea typeface="+mn-ea"/>
              <a:cs typeface="+mn-cs"/>
            </a:rPr>
            <a:t>• Madhya Pradesh recorded the highest growth after March 2021.</a:t>
          </a:r>
        </a:p>
        <a:p>
          <a:r>
            <a:rPr lang="en-IN" sz="2400" baseline="0">
              <a:solidFill>
                <a:srgbClr val="FF9800"/>
              </a:solidFill>
              <a:latin typeface="+mn-lt"/>
              <a:ea typeface="+mn-ea"/>
              <a:cs typeface="+mn-cs"/>
            </a:rPr>
            <a:t>• West India accounts for the largest share of total seats.</a:t>
          </a:r>
        </a:p>
        <a:p>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xdr:col>
      <xdr:colOff>120650</xdr:colOff>
      <xdr:row>2</xdr:row>
      <xdr:rowOff>6350</xdr:rowOff>
    </xdr:from>
    <xdr:to>
      <xdr:col>6</xdr:col>
      <xdr:colOff>120650</xdr:colOff>
      <xdr:row>12</xdr:row>
      <xdr:rowOff>88900</xdr:rowOff>
    </xdr:to>
    <mc:AlternateContent xmlns:mc="http://schemas.openxmlformats.org/markup-compatibility/2006" xmlns:sle15="http://schemas.microsoft.com/office/drawing/2012/slicer">
      <mc:Choice Requires="sle15">
        <xdr:graphicFrame macro="">
          <xdr:nvGraphicFramePr>
            <xdr:cNvPr id="2" name="Select The year">
              <a:extLst>
                <a:ext uri="{FF2B5EF4-FFF2-40B4-BE49-F238E27FC236}">
                  <a16:creationId xmlns:a16="http://schemas.microsoft.com/office/drawing/2014/main" id="{E6919CFC-E977-9A3D-4A2A-CAB28F3D6F17}"/>
                </a:ext>
              </a:extLst>
            </xdr:cNvPr>
            <xdr:cNvGraphicFramePr/>
          </xdr:nvGraphicFramePr>
          <xdr:xfrm>
            <a:off x="0" y="0"/>
            <a:ext cx="0" cy="0"/>
          </xdr:xfrm>
          <a:graphic>
            <a:graphicData uri="http://schemas.microsoft.com/office/drawing/2010/slicer">
              <sle:slicer xmlns:sle="http://schemas.microsoft.com/office/drawing/2010/slicer" name="Select The year"/>
            </a:graphicData>
          </a:graphic>
        </xdr:graphicFrame>
      </mc:Choice>
      <mc:Fallback xmlns="">
        <xdr:sp macro="" textlink="">
          <xdr:nvSpPr>
            <xdr:cNvPr id="0" name=""/>
            <xdr:cNvSpPr>
              <a:spLocks noTextEdit="1"/>
            </xdr:cNvSpPr>
          </xdr:nvSpPr>
          <xdr:spPr>
            <a:xfrm>
              <a:off x="4222750" y="37465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vanshika Rana" refreshedDate="46183.719547800923" createdVersion="8" refreshedVersion="8" minRefreshableVersion="3" recordCount="35" xr:uid="{DBD0F611-8347-4E1C-A0B9-0A91E2218C2F}">
  <cacheSource type="worksheet">
    <worksheetSource ref="B1:C36" sheet="Combined_Table"/>
  </cacheSource>
  <cacheFields count="2">
    <cacheField name="State/UT" numFmtId="0">
      <sharedItems count="35">
        <s v="Andhra Pradesh"/>
        <s v="Andaman and Nicobar"/>
        <s v="Arunachal Pradesh"/>
        <s v="Assam"/>
        <s v="Bihar"/>
        <s v="Chandigarh"/>
        <s v="Chhattisgarh"/>
        <s v="Daman &amp; Diu and Dadra &amp; Nagra Haveli"/>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ripura"/>
        <s v="Uttar Pradesh"/>
        <s v="Uttarakhand"/>
        <s v="West Bengal"/>
      </sharedItems>
    </cacheField>
    <cacheField name=" Public Toilte seats (2019)" numFmtId="0">
      <sharedItems containsSemiMixedTypes="0" containsString="0" containsNumber="1" containsInteger="1" minValue="0" maxValue="166465" count="35">
        <n v="17757"/>
        <n v="603"/>
        <n v="46"/>
        <n v="3286"/>
        <n v="16124"/>
        <n v="2512"/>
        <n v="18832"/>
        <n v="615"/>
        <n v="24186"/>
        <n v="577"/>
        <n v="24149"/>
        <n v="10819"/>
        <n v="1445"/>
        <n v="2384"/>
        <n v="7551"/>
        <n v="34387"/>
        <n v="2801"/>
        <n v="0"/>
        <n v="18251"/>
        <n v="166465"/>
        <n v="443"/>
        <n v="152"/>
        <n v="188"/>
        <n v="235"/>
        <n v="9072"/>
        <n v="466"/>
        <n v="10775"/>
        <n v="23147"/>
        <n v="163"/>
        <n v="89648"/>
        <n v="6000"/>
        <n v="883"/>
        <n v="62490"/>
        <n v="4547"/>
        <n v="29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vanshika Rana" refreshedDate="46183.864582986113" createdVersion="8" refreshedVersion="8" minRefreshableVersion="3" recordCount="175" xr:uid="{3184CA81-8ACE-4D56-B882-32D002B08F18}">
  <cacheSource type="worksheet">
    <worksheetSource name="Table7_1"/>
  </cacheSource>
  <cacheFields count="4">
    <cacheField name="S.No." numFmtId="0">
      <sharedItems containsSemiMixedTypes="0" containsString="0" containsNumber="1" containsInteger="1" minValue="1" maxValue="35"/>
    </cacheField>
    <cacheField name="State/UT" numFmtId="0">
      <sharedItems count="35">
        <s v="Andhra Pradesh"/>
        <s v="Andaman and Nicobar"/>
        <s v="Arunachal Pradesh"/>
        <s v="Assam"/>
        <s v="Bihar"/>
        <s v="Chandigarh"/>
        <s v="Chhattisgarh"/>
        <s v="Daman &amp; Diu and Dadra &amp; Nagra Haveli"/>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ripura"/>
        <s v="Uttar Pradesh"/>
        <s v="Uttarakhand"/>
        <s v="West Bengal"/>
      </sharedItems>
    </cacheField>
    <cacheField name="Years" numFmtId="0">
      <sharedItems count="5">
        <s v=" Public Toilte seats (2019)"/>
        <s v="Additional Seats (2020–Mar 2021)"/>
        <s v="Cumulative Seats till Mar 2021"/>
        <s v="Increase from Mar 2021 to Latest Available"/>
        <s v="Cumulative Seats till 2023"/>
      </sharedItems>
    </cacheField>
    <cacheField name="Public Toilet Seats" numFmtId="0">
      <sharedItems containsSemiMixedTypes="0" containsString="0" containsNumber="1" containsInteger="1" minValue="0" maxValue="166465"/>
    </cacheField>
  </cacheFields>
  <extLst>
    <ext xmlns:x14="http://schemas.microsoft.com/office/spreadsheetml/2009/9/main" uri="{725AE2AE-9491-48be-B2B4-4EB974FC3084}">
      <x14:pivotCacheDefinition pivotCacheId="21429077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vanshika Rana" refreshedDate="46183.962649884263" backgroundQuery="1" createdVersion="8" refreshedVersion="8" minRefreshableVersion="3" recordCount="0" supportSubquery="1" supportAdvancedDrill="1" xr:uid="{06BE5B10-1E88-462A-A360-A9567FA53FD3}">
  <cacheSource type="external" connectionId="6"/>
  <cacheFields count="4">
    <cacheField name="[Range 1].[State/UT].[State/UT]" caption="State/UT" numFmtId="0" hierarchy="7" level="1">
      <sharedItems containsBlank="1" count="36">
        <s v="Andaman and Nicobar"/>
        <s v="Andhra Pradesh"/>
        <s v="Arunachal Pradesh"/>
        <s v="Assam"/>
        <s v="Bihar"/>
        <s v="Chandigarh"/>
        <s v="Chhattisgarh"/>
        <s v="Daman &amp; Diu and Dadra &amp; Nagra Haveli"/>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ripura"/>
        <s v="Uttar Pradesh"/>
        <s v="Uttarakhand"/>
        <s v="West Bengal"/>
        <m/>
      </sharedItems>
    </cacheField>
    <cacheField name="[Range].[State/UT].[State/UT]" caption="State/UT" numFmtId="0" hierarchy="1" level="1">
      <sharedItems count="5">
        <s v="Bihar"/>
        <s v="Jharkhand"/>
        <s v="Madhya Pradesh"/>
        <s v="Telangana"/>
        <s v="Uttar Pradesh"/>
      </sharedItems>
    </cacheField>
    <cacheField name="[Measures].[Sum of Increase from Mar 2021 to Latest Available]" caption="Sum of Increase from Mar 2021 to Latest Available" numFmtId="0" hierarchy="19" level="32767"/>
    <cacheField name="[Table5].[Select The year].[Select The year]" caption="Select The year" numFmtId="0" hierarchy="10" level="1">
      <sharedItems containsSemiMixedTypes="0" containsNonDate="0" containsString="0"/>
    </cacheField>
  </cacheFields>
  <cacheHierarchies count="24">
    <cacheHierarchy uniqueName="[Range].[S.No.]" caption="S.No." attribute="1" defaultMemberUniqueName="[Range].[S.No.].[All]" allUniqueName="[Range].[S.No.].[All]" dimensionUniqueName="[Range]" displayFolder="" count="0" memberValueDatatype="130" unbalanced="0"/>
    <cacheHierarchy uniqueName="[Range].[State/UT]" caption="State/UT" attribute="1" defaultMemberUniqueName="[Range].[State/UT].[All]" allUniqueName="[Range].[State/UT].[All]" dimensionUniqueName="[Range]" displayFolder="" count="2" memberValueDatatype="130" unbalanced="0">
      <fieldsUsage count="2">
        <fieldUsage x="-1"/>
        <fieldUsage x="1"/>
      </fieldsUsage>
    </cacheHierarchy>
    <cacheHierarchy uniqueName="[Range].[Public Toilte seats (2019)]" caption="Public Toilte seats (2019)" attribute="1" defaultMemberUniqueName="[Range].[Public Toilte seats (2019)].[All]" allUniqueName="[Range].[Public Toilte seats (2019)].[All]" dimensionUniqueName="[Range]" displayFolder="" count="0" memberValueDatatype="20" unbalanced="0"/>
    <cacheHierarchy uniqueName="[Range].[Additional Seats (2020–Mar 2021)]" caption="Additional Seats (2020–Mar 2021)" attribute="1" defaultMemberUniqueName="[Range].[Additional Seats (2020–Mar 2021)].[All]" allUniqueName="[Range].[Additional Seats (2020–Mar 2021)].[All]" dimensionUniqueName="[Range]" displayFolder="" count="0" memberValueDatatype="20" unbalanced="0"/>
    <cacheHierarchy uniqueName="[Range].[Cumulative Seats till Mar 2021]" caption="Cumulative Seats till Mar 2021" attribute="1" defaultMemberUniqueName="[Range].[Cumulative Seats till Mar 2021].[All]" allUniqueName="[Range].[Cumulative Seats till Mar 2021].[All]" dimensionUniqueName="[Range]" displayFolder="" count="0" memberValueDatatype="20" unbalanced="0"/>
    <cacheHierarchy uniqueName="[Range].[Increase from Mar 2021 to Latest Available]" caption="Increase from Mar 2021 to Latest Available" attribute="1" defaultMemberUniqueName="[Range].[Increase from Mar 2021 to Latest Available].[All]" allUniqueName="[Range].[Increase from Mar 2021 to Latest Available].[All]" dimensionUniqueName="[Range]" displayFolder="" count="0" memberValueDatatype="20" unbalanced="0"/>
    <cacheHierarchy uniqueName="[Range].[Cumulative Seats till 2023]" caption="Cumulative Seats till 2023" attribute="1" defaultMemberUniqueName="[Range].[Cumulative Seats till 2023].[All]" allUniqueName="[Range].[Cumulative Seats till 2023].[All]" dimensionUniqueName="[Range]" displayFolder="" count="0" memberValueDatatype="20" unbalanced="0"/>
    <cacheHierarchy uniqueName="[Range 1].[State/UT]" caption="State/UT" attribute="1" defaultMemberUniqueName="[Range 1].[State/UT].[All]" allUniqueName="[Range 1].[State/UT].[All]" dimensionUniqueName="[Range 1]" displayFolder="" count="2" memberValueDatatype="130" unbalanced="0">
      <fieldsUsage count="2">
        <fieldUsage x="-1"/>
        <fieldUsage x="0"/>
      </fieldsUsage>
    </cacheHierarchy>
    <cacheHierarchy uniqueName="[Range 1].[Public Toilte seats (2019)]" caption="Public Toilte seats (2019)" attribute="1" defaultMemberUniqueName="[Range 1].[Public Toilte seats (2019)].[All]" allUniqueName="[Range 1].[Public Toilte seats (2019)].[All]" dimensionUniqueName="[Range 1]" displayFolder="" count="0" memberValueDatatype="20" unbalanced="0"/>
    <cacheHierarchy uniqueName="[Table4].[Year]" caption="Year" attribute="1" defaultMemberUniqueName="[Table4].[Year].[All]" allUniqueName="[Table4].[Year].[All]" dimensionUniqueName="[Table4]" displayFolder="" count="0" memberValueDatatype="130" unbalanced="0"/>
    <cacheHierarchy uniqueName="[Table5].[Select The year]" caption="Select The year" attribute="1" defaultMemberUniqueName="[Table5].[Select The year].[All]" allUniqueName="[Table5].[Select The year].[All]" dimensionUniqueName="[Table5]" displayFolder="" count="2" memberValueDatatype="130" unbalanced="0">
      <fieldsUsage count="2">
        <fieldUsage x="-1"/>
        <fieldUsage x="3"/>
      </fieldsUsage>
    </cacheHierarchy>
    <cacheHierarchy uniqueName="[Table6].[Years]" caption="Years" attribute="1" defaultMemberUniqueName="[Table6].[Years].[All]" allUniqueName="[Table6].[Years].[All]" dimensionUniqueName="[Table6]"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umulative Seats till 2023]" caption="Sum of Cumulative Seats till 2023" measure="1" displayFolder="" measureGroup="Range" count="0" hidden="1">
      <extLst>
        <ext xmlns:x15="http://schemas.microsoft.com/office/spreadsheetml/2010/11/main" uri="{B97F6D7D-B522-45F9-BDA1-12C45D357490}">
          <x15:cacheHierarchy aggregatedColumn="6"/>
        </ext>
      </extLst>
    </cacheHierarchy>
    <cacheHierarchy uniqueName="[Measures].[Sum of Increase from Mar 2021 to Latest Available]" caption="Sum of Increase from Mar 2021 to Latest Available"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mulative Seats till Mar 2021]" caption="Sum of Cumulative Seats till Mar 2021" measure="1" displayFolder="" measureGroup="Range" count="0" hidden="1">
      <extLst>
        <ext xmlns:x15="http://schemas.microsoft.com/office/spreadsheetml/2010/11/main" uri="{B97F6D7D-B522-45F9-BDA1-12C45D357490}">
          <x15:cacheHierarchy aggregatedColumn="4"/>
        </ext>
      </extLst>
    </cacheHierarchy>
    <cacheHierarchy uniqueName="[Measures].[Sum of Public Toilte seats (2019)]" caption="Sum of Public Toilte seats (2019)" measure="1" displayFolder="" measureGroup="Range" count="0" hidden="1">
      <extLst>
        <ext xmlns:x15="http://schemas.microsoft.com/office/spreadsheetml/2010/11/main" uri="{B97F6D7D-B522-45F9-BDA1-12C45D357490}">
          <x15:cacheHierarchy aggregatedColumn="2"/>
        </ext>
      </extLst>
    </cacheHierarchy>
    <cacheHierarchy uniqueName="[Measures].[Sum of Additional Seats (2020–Mar 2021)]" caption="Sum of Additional Seats (2020–Mar 2021)" measure="1" displayFolder="" measureGroup="Range" count="0" hidden="1">
      <extLst>
        <ext xmlns:x15="http://schemas.microsoft.com/office/spreadsheetml/2010/11/main" uri="{B97F6D7D-B522-45F9-BDA1-12C45D357490}">
          <x15:cacheHierarchy aggregatedColumn="3"/>
        </ext>
      </extLst>
    </cacheHierarchy>
    <cacheHierarchy uniqueName="[Measures].[Sum of Public Toilte seats (2019) 2]" caption="Sum of Public Toilte seats (2019) 2" measure="1" displayFolder="" measureGroup="Range 1" count="0" hidden="1">
      <extLst>
        <ext xmlns:x15="http://schemas.microsoft.com/office/spreadsheetml/2010/11/main" uri="{B97F6D7D-B522-45F9-BDA1-12C45D357490}">
          <x15:cacheHierarchy aggregatedColumn="8"/>
        </ext>
      </extLst>
    </cacheHierarchy>
  </cacheHierarchies>
  <kpis count="0"/>
  <dimensions count="6">
    <dimension measure="1" name="Measures" uniqueName="[Measures]" caption="Measures"/>
    <dimension name="Range" uniqueName="[Range]" caption="Range"/>
    <dimension name="Range 1" uniqueName="[Range 1]" caption="Range 1"/>
    <dimension name="Table4" uniqueName="[Table4]" caption="Table4"/>
    <dimension name="Table5" uniqueName="[Table5]" caption="Table5"/>
    <dimension name="Table6" uniqueName="[Table6]" caption="Table6"/>
  </dimensions>
  <measureGroups count="5">
    <measureGroup name="Range" caption="Range"/>
    <measureGroup name="Range 1" caption="Range 1"/>
    <measureGroup name="Table4" caption="Table4"/>
    <measureGroup name="Table5" caption="Table5"/>
    <measureGroup name="Table6" caption="Table6"/>
  </measureGroups>
  <maps count="6">
    <map measureGroup="0" dimension="1"/>
    <map measureGroup="0" dimension="2"/>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vanshika Rana" refreshedDate="46183.962648726854" backgroundQuery="1" createdVersion="8" refreshedVersion="8" minRefreshableVersion="3" recordCount="0" supportSubquery="1" supportAdvancedDrill="1" xr:uid="{CC561901-F051-4EAE-BD7E-F176DE3ED398}">
  <cacheSource type="external" connectionId="6"/>
  <cacheFields count="4">
    <cacheField name="[Range 1].[State/UT].[State/UT]" caption="State/UT" numFmtId="0" hierarchy="7" level="1">
      <sharedItems count="35">
        <s v="Andaman and Nicobar"/>
        <s v="Andhra Pradesh"/>
        <s v="Arunachal Pradesh"/>
        <s v="Assam"/>
        <s v="Bihar"/>
        <s v="Chandigarh"/>
        <s v="Chhattisgarh"/>
        <s v="Daman &amp; Diu and Dadra &amp; Nagra Haveli"/>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ripura"/>
        <s v="Uttar Pradesh"/>
        <s v="Uttarakhand"/>
        <s v="West Bengal"/>
      </sharedItems>
    </cacheField>
    <cacheField name="[Measures].[Sum of Additional Seats (2020–Mar 2021)]" caption="Sum of Additional Seats (2020–Mar 2021)" numFmtId="0" hierarchy="22" level="32767"/>
    <cacheField name="[Range].[State/UT].[State/UT]" caption="State/UT" numFmtId="0" hierarchy="1" level="1">
      <sharedItems count="5">
        <s v="Bihar"/>
        <s v="Rajasthan"/>
        <s v="Telangana"/>
        <s v="Uttar Pradesh"/>
        <s v="West Bengal"/>
      </sharedItems>
    </cacheField>
    <cacheField name="[Table5].[Select The year].[Select The year]" caption="Select The year" numFmtId="0" hierarchy="10" level="1">
      <sharedItems containsSemiMixedTypes="0" containsNonDate="0" containsString="0"/>
    </cacheField>
  </cacheFields>
  <cacheHierarchies count="24">
    <cacheHierarchy uniqueName="[Range].[S.No.]" caption="S.No." attribute="1" defaultMemberUniqueName="[Range].[S.No.].[All]" allUniqueName="[Range].[S.No.].[All]" dimensionUniqueName="[Range]" displayFolder="" count="0" memberValueDatatype="130" unbalanced="0"/>
    <cacheHierarchy uniqueName="[Range].[State/UT]" caption="State/UT" attribute="1" defaultMemberUniqueName="[Range].[State/UT].[All]" allUniqueName="[Range].[State/UT].[All]" dimensionUniqueName="[Range]" displayFolder="" count="2" memberValueDatatype="130" unbalanced="0">
      <fieldsUsage count="2">
        <fieldUsage x="-1"/>
        <fieldUsage x="2"/>
      </fieldsUsage>
    </cacheHierarchy>
    <cacheHierarchy uniqueName="[Range].[Public Toilte seats (2019)]" caption="Public Toilte seats (2019)" attribute="1" defaultMemberUniqueName="[Range].[Public Toilte seats (2019)].[All]" allUniqueName="[Range].[Public Toilte seats (2019)].[All]" dimensionUniqueName="[Range]" displayFolder="" count="0" memberValueDatatype="20" unbalanced="0"/>
    <cacheHierarchy uniqueName="[Range].[Additional Seats (2020–Mar 2021)]" caption="Additional Seats (2020–Mar 2021)" attribute="1" defaultMemberUniqueName="[Range].[Additional Seats (2020–Mar 2021)].[All]" allUniqueName="[Range].[Additional Seats (2020–Mar 2021)].[All]" dimensionUniqueName="[Range]" displayFolder="" count="0" memberValueDatatype="20" unbalanced="0"/>
    <cacheHierarchy uniqueName="[Range].[Cumulative Seats till Mar 2021]" caption="Cumulative Seats till Mar 2021" attribute="1" defaultMemberUniqueName="[Range].[Cumulative Seats till Mar 2021].[All]" allUniqueName="[Range].[Cumulative Seats till Mar 2021].[All]" dimensionUniqueName="[Range]" displayFolder="" count="0" memberValueDatatype="20" unbalanced="0"/>
    <cacheHierarchy uniqueName="[Range].[Increase from Mar 2021 to Latest Available]" caption="Increase from Mar 2021 to Latest Available" attribute="1" defaultMemberUniqueName="[Range].[Increase from Mar 2021 to Latest Available].[All]" allUniqueName="[Range].[Increase from Mar 2021 to Latest Available].[All]" dimensionUniqueName="[Range]" displayFolder="" count="0" memberValueDatatype="20" unbalanced="0"/>
    <cacheHierarchy uniqueName="[Range].[Cumulative Seats till 2023]" caption="Cumulative Seats till 2023" attribute="1" defaultMemberUniqueName="[Range].[Cumulative Seats till 2023].[All]" allUniqueName="[Range].[Cumulative Seats till 2023].[All]" dimensionUniqueName="[Range]" displayFolder="" count="0" memberValueDatatype="20" unbalanced="0"/>
    <cacheHierarchy uniqueName="[Range 1].[State/UT]" caption="State/UT" attribute="1" defaultMemberUniqueName="[Range 1].[State/UT].[All]" allUniqueName="[Range 1].[State/UT].[All]" dimensionUniqueName="[Range 1]" displayFolder="" count="2" memberValueDatatype="130" unbalanced="0">
      <fieldsUsage count="2">
        <fieldUsage x="-1"/>
        <fieldUsage x="0"/>
      </fieldsUsage>
    </cacheHierarchy>
    <cacheHierarchy uniqueName="[Range 1].[Public Toilte seats (2019)]" caption="Public Toilte seats (2019)" attribute="1" defaultMemberUniqueName="[Range 1].[Public Toilte seats (2019)].[All]" allUniqueName="[Range 1].[Public Toilte seats (2019)].[All]" dimensionUniqueName="[Range 1]" displayFolder="" count="0" memberValueDatatype="20" unbalanced="0"/>
    <cacheHierarchy uniqueName="[Table4].[Year]" caption="Year" attribute="1" defaultMemberUniqueName="[Table4].[Year].[All]" allUniqueName="[Table4].[Year].[All]" dimensionUniqueName="[Table4]" displayFolder="" count="0" memberValueDatatype="130" unbalanced="0"/>
    <cacheHierarchy uniqueName="[Table5].[Select The year]" caption="Select The year" attribute="1" defaultMemberUniqueName="[Table5].[Select The year].[All]" allUniqueName="[Table5].[Select The year].[All]" dimensionUniqueName="[Table5]" displayFolder="" count="2" memberValueDatatype="130" unbalanced="0">
      <fieldsUsage count="2">
        <fieldUsage x="-1"/>
        <fieldUsage x="3"/>
      </fieldsUsage>
    </cacheHierarchy>
    <cacheHierarchy uniqueName="[Table6].[Years]" caption="Years" attribute="1" defaultMemberUniqueName="[Table6].[Years].[All]" allUniqueName="[Table6].[Years].[All]" dimensionUniqueName="[Table6]"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umulative Seats till 2023]" caption="Sum of Cumulative Seats till 2023" measure="1" displayFolder="" measureGroup="Range" count="0" hidden="1">
      <extLst>
        <ext xmlns:x15="http://schemas.microsoft.com/office/spreadsheetml/2010/11/main" uri="{B97F6D7D-B522-45F9-BDA1-12C45D357490}">
          <x15:cacheHierarchy aggregatedColumn="6"/>
        </ext>
      </extLst>
    </cacheHierarchy>
    <cacheHierarchy uniqueName="[Measures].[Sum of Increase from Mar 2021 to Latest Available]" caption="Sum of Increase from Mar 2021 to Latest Available" measure="1" displayFolder="" measureGroup="Range" count="0" hidden="1">
      <extLst>
        <ext xmlns:x15="http://schemas.microsoft.com/office/spreadsheetml/2010/11/main" uri="{B97F6D7D-B522-45F9-BDA1-12C45D357490}">
          <x15:cacheHierarchy aggregatedColumn="5"/>
        </ext>
      </extLst>
    </cacheHierarchy>
    <cacheHierarchy uniqueName="[Measures].[Sum of Cumulative Seats till Mar 2021]" caption="Sum of Cumulative Seats till Mar 2021" measure="1" displayFolder="" measureGroup="Range" count="0" hidden="1">
      <extLst>
        <ext xmlns:x15="http://schemas.microsoft.com/office/spreadsheetml/2010/11/main" uri="{B97F6D7D-B522-45F9-BDA1-12C45D357490}">
          <x15:cacheHierarchy aggregatedColumn="4"/>
        </ext>
      </extLst>
    </cacheHierarchy>
    <cacheHierarchy uniqueName="[Measures].[Sum of Public Toilte seats (2019)]" caption="Sum of Public Toilte seats (2019)" measure="1" displayFolder="" measureGroup="Range" count="0" hidden="1">
      <extLst>
        <ext xmlns:x15="http://schemas.microsoft.com/office/spreadsheetml/2010/11/main" uri="{B97F6D7D-B522-45F9-BDA1-12C45D357490}">
          <x15:cacheHierarchy aggregatedColumn="2"/>
        </ext>
      </extLst>
    </cacheHierarchy>
    <cacheHierarchy uniqueName="[Measures].[Sum of Additional Seats (2020–Mar 2021)]" caption="Sum of Additional Seats (2020–Mar 2021)"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ublic Toilte seats (2019) 2]" caption="Sum of Public Toilte seats (2019) 2" measure="1" displayFolder="" measureGroup="Range 1" count="0" hidden="1">
      <extLst>
        <ext xmlns:x15="http://schemas.microsoft.com/office/spreadsheetml/2010/11/main" uri="{B97F6D7D-B522-45F9-BDA1-12C45D357490}">
          <x15:cacheHierarchy aggregatedColumn="8"/>
        </ext>
      </extLst>
    </cacheHierarchy>
  </cacheHierarchies>
  <kpis count="0"/>
  <dimensions count="6">
    <dimension measure="1" name="Measures" uniqueName="[Measures]" caption="Measures"/>
    <dimension name="Range" uniqueName="[Range]" caption="Range"/>
    <dimension name="Range 1" uniqueName="[Range 1]" caption="Range 1"/>
    <dimension name="Table4" uniqueName="[Table4]" caption="Table4"/>
    <dimension name="Table5" uniqueName="[Table5]" caption="Table5"/>
    <dimension name="Table6" uniqueName="[Table6]" caption="Table6"/>
  </dimensions>
  <measureGroups count="5">
    <measureGroup name="Range" caption="Range"/>
    <measureGroup name="Range 1" caption="Range 1"/>
    <measureGroup name="Table4" caption="Table4"/>
    <measureGroup name="Table5" caption="Table5"/>
    <measureGroup name="Table6" caption="Table6"/>
  </measureGroups>
  <maps count="6">
    <map measureGroup="0" dimension="1"/>
    <map measureGroup="0" dimension="2"/>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vanshika Rana" refreshedDate="46183.962647685184" backgroundQuery="1" createdVersion="8" refreshedVersion="8" minRefreshableVersion="3" recordCount="0" supportSubquery="1" supportAdvancedDrill="1" xr:uid="{CD00B604-DAFD-477C-ACE0-8552EF4679DF}">
  <cacheSource type="external" connectionId="6"/>
  <cacheFields count="4">
    <cacheField name="[Measures].[Sum of Public Toilte seats (2019)]" caption="Sum of Public Toilte seats (2019)" numFmtId="0" hierarchy="21" level="32767"/>
    <cacheField name="[Measures].[Sum of Cumulative Seats till Mar 2021]" caption="Sum of Cumulative Seats till Mar 2021" numFmtId="0" hierarchy="20" level="32767"/>
    <cacheField name="[Measures].[Sum of Cumulative Seats till 2023]" caption="Sum of Cumulative Seats till 2023" numFmtId="0" hierarchy="18" level="32767"/>
    <cacheField name="[Table5].[Select The year].[Select The year]" caption="Select The year" numFmtId="0" hierarchy="10" level="1">
      <sharedItems containsSemiMixedTypes="0" containsNonDate="0" containsString="0"/>
    </cacheField>
  </cacheFields>
  <cacheHierarchies count="24">
    <cacheHierarchy uniqueName="[Range].[S.No.]" caption="S.No." attribute="1" defaultMemberUniqueName="[Range].[S.No.].[All]" allUniqueName="[Range].[S.No.].[All]" dimensionUniqueName="[Range]" displayFolder="" count="0" memberValueDatatype="130" unbalanced="0"/>
    <cacheHierarchy uniqueName="[Range].[State/UT]" caption="State/UT" attribute="1" defaultMemberUniqueName="[Range].[State/UT].[All]" allUniqueName="[Range].[State/UT].[All]" dimensionUniqueName="[Range]" displayFolder="" count="0" memberValueDatatype="130" unbalanced="0"/>
    <cacheHierarchy uniqueName="[Range].[Public Toilte seats (2019)]" caption="Public Toilte seats (2019)" attribute="1" defaultMemberUniqueName="[Range].[Public Toilte seats (2019)].[All]" allUniqueName="[Range].[Public Toilte seats (2019)].[All]" dimensionUniqueName="[Range]" displayFolder="" count="0" memberValueDatatype="20" unbalanced="0"/>
    <cacheHierarchy uniqueName="[Range].[Additional Seats (2020–Mar 2021)]" caption="Additional Seats (2020–Mar 2021)" attribute="1" defaultMemberUniqueName="[Range].[Additional Seats (2020–Mar 2021)].[All]" allUniqueName="[Range].[Additional Seats (2020–Mar 2021)].[All]" dimensionUniqueName="[Range]" displayFolder="" count="0" memberValueDatatype="20" unbalanced="0"/>
    <cacheHierarchy uniqueName="[Range].[Cumulative Seats till Mar 2021]" caption="Cumulative Seats till Mar 2021" attribute="1" defaultMemberUniqueName="[Range].[Cumulative Seats till Mar 2021].[All]" allUniqueName="[Range].[Cumulative Seats till Mar 2021].[All]" dimensionUniqueName="[Range]" displayFolder="" count="0" memberValueDatatype="20" unbalanced="0"/>
    <cacheHierarchy uniqueName="[Range].[Increase from Mar 2021 to Latest Available]" caption="Increase from Mar 2021 to Latest Available" attribute="1" defaultMemberUniqueName="[Range].[Increase from Mar 2021 to Latest Available].[All]" allUniqueName="[Range].[Increase from Mar 2021 to Latest Available].[All]" dimensionUniqueName="[Range]" displayFolder="" count="0" memberValueDatatype="20" unbalanced="0"/>
    <cacheHierarchy uniqueName="[Range].[Cumulative Seats till 2023]" caption="Cumulative Seats till 2023" attribute="1" defaultMemberUniqueName="[Range].[Cumulative Seats till 2023].[All]" allUniqueName="[Range].[Cumulative Seats till 2023].[All]" dimensionUniqueName="[Range]" displayFolder="" count="0" memberValueDatatype="20" unbalanced="0"/>
    <cacheHierarchy uniqueName="[Range 1].[State/UT]" caption="State/UT" attribute="1" defaultMemberUniqueName="[Range 1].[State/UT].[All]" allUniqueName="[Range 1].[State/UT].[All]" dimensionUniqueName="[Range 1]" displayFolder="" count="0" memberValueDatatype="130" unbalanced="0"/>
    <cacheHierarchy uniqueName="[Range 1].[Public Toilte seats (2019)]" caption="Public Toilte seats (2019)" attribute="1" defaultMemberUniqueName="[Range 1].[Public Toilte seats (2019)].[All]" allUniqueName="[Range 1].[Public Toilte seats (2019)].[All]" dimensionUniqueName="[Range 1]" displayFolder="" count="0" memberValueDatatype="20" unbalanced="0"/>
    <cacheHierarchy uniqueName="[Table4].[Year]" caption="Year" attribute="1" defaultMemberUniqueName="[Table4].[Year].[All]" allUniqueName="[Table4].[Year].[All]" dimensionUniqueName="[Table4]" displayFolder="" count="0" memberValueDatatype="130" unbalanced="0"/>
    <cacheHierarchy uniqueName="[Table5].[Select The year]" caption="Select The year" attribute="1" defaultMemberUniqueName="[Table5].[Select The year].[All]" allUniqueName="[Table5].[Select The year].[All]" dimensionUniqueName="[Table5]" displayFolder="" count="2" memberValueDatatype="130" unbalanced="0">
      <fieldsUsage count="2">
        <fieldUsage x="-1"/>
        <fieldUsage x="3"/>
      </fieldsUsage>
    </cacheHierarchy>
    <cacheHierarchy uniqueName="[Table6].[Years]" caption="Years" attribute="1" defaultMemberUniqueName="[Table6].[Years].[All]" allUniqueName="[Table6].[Years].[All]" dimensionUniqueName="[Table6]"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umulative Seats till 2023]" caption="Sum of Cumulative Seats till 2023"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Increase from Mar 2021 to Latest Available]" caption="Sum of Increase from Mar 2021 to Latest Available" measure="1" displayFolder="" measureGroup="Range" count="0" hidden="1">
      <extLst>
        <ext xmlns:x15="http://schemas.microsoft.com/office/spreadsheetml/2010/11/main" uri="{B97F6D7D-B522-45F9-BDA1-12C45D357490}">
          <x15:cacheHierarchy aggregatedColumn="5"/>
        </ext>
      </extLst>
    </cacheHierarchy>
    <cacheHierarchy uniqueName="[Measures].[Sum of Cumulative Seats till Mar 2021]" caption="Sum of Cumulative Seats till Mar 2021"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ublic Toilte seats (2019)]" caption="Sum of Public Toilte seats (2019)"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dditional Seats (2020–Mar 2021)]" caption="Sum of Additional Seats (2020–Mar 2021)" measure="1" displayFolder="" measureGroup="Range" count="0" hidden="1">
      <extLst>
        <ext xmlns:x15="http://schemas.microsoft.com/office/spreadsheetml/2010/11/main" uri="{B97F6D7D-B522-45F9-BDA1-12C45D357490}">
          <x15:cacheHierarchy aggregatedColumn="3"/>
        </ext>
      </extLst>
    </cacheHierarchy>
    <cacheHierarchy uniqueName="[Measures].[Sum of Public Toilte seats (2019) 2]" caption="Sum of Public Toilte seats (2019) 2" measure="1" displayFolder="" measureGroup="Range 1" count="0" hidden="1">
      <extLst>
        <ext xmlns:x15="http://schemas.microsoft.com/office/spreadsheetml/2010/11/main" uri="{B97F6D7D-B522-45F9-BDA1-12C45D357490}">
          <x15:cacheHierarchy aggregatedColumn="8"/>
        </ext>
      </extLst>
    </cacheHierarchy>
  </cacheHierarchies>
  <kpis count="0"/>
  <dimensions count="6">
    <dimension measure="1" name="Measures" uniqueName="[Measures]" caption="Measures"/>
    <dimension name="Range" uniqueName="[Range]" caption="Range"/>
    <dimension name="Range 1" uniqueName="[Range 1]" caption="Range 1"/>
    <dimension name="Table4" uniqueName="[Table4]" caption="Table4"/>
    <dimension name="Table5" uniqueName="[Table5]" caption="Table5"/>
    <dimension name="Table6" uniqueName="[Table6]" caption="Table6"/>
  </dimensions>
  <measureGroups count="5">
    <measureGroup name="Range" caption="Range"/>
    <measureGroup name="Range 1" caption="Range 1"/>
    <measureGroup name="Table4" caption="Table4"/>
    <measureGroup name="Table5" caption="Table5"/>
    <measureGroup name="Table6" caption="Table6"/>
  </measureGroups>
  <maps count="6">
    <map measureGroup="0" dimension="1"/>
    <map measureGroup="0" dimension="2"/>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vanshika Rana" refreshedDate="46184.733959143516" createdVersion="8" refreshedVersion="8" minRefreshableVersion="3" recordCount="176" xr:uid="{B0FE5C1E-48AF-4B80-9BE6-814A2289831B}">
  <cacheSource type="worksheet">
    <worksheetSource ref="A1:E1048576" sheet="State_Year"/>
  </cacheSource>
  <cacheFields count="5">
    <cacheField name="S.No." numFmtId="0">
      <sharedItems containsString="0" containsBlank="1" containsNumber="1" containsInteger="1" minValue="1" maxValue="35"/>
    </cacheField>
    <cacheField name="State/UT" numFmtId="0">
      <sharedItems containsBlank="1"/>
    </cacheField>
    <cacheField name="Years" numFmtId="0">
      <sharedItems containsBlank="1"/>
    </cacheField>
    <cacheField name="Public Toilet Seats" numFmtId="0">
      <sharedItems containsString="0" containsBlank="1" containsNumber="1" containsInteger="1" minValue="0" maxValue="166465"/>
    </cacheField>
    <cacheField name="Region" numFmtId="0">
      <sharedItems containsBlank="1" count="9">
        <s v="South"/>
        <s v="Islands"/>
        <s v="North-East"/>
        <s v="East"/>
        <s v="North"/>
        <s v="Central"/>
        <s v="West"/>
        <m/>
        <s v="Other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r>
    <x v="24"/>
    <x v="24"/>
  </r>
  <r>
    <x v="25"/>
    <x v="25"/>
  </r>
  <r>
    <x v="26"/>
    <x v="26"/>
  </r>
  <r>
    <x v="27"/>
    <x v="27"/>
  </r>
  <r>
    <x v="28"/>
    <x v="28"/>
  </r>
  <r>
    <x v="29"/>
    <x v="29"/>
  </r>
  <r>
    <x v="30"/>
    <x v="30"/>
  </r>
  <r>
    <x v="31"/>
    <x v="31"/>
  </r>
  <r>
    <x v="32"/>
    <x v="32"/>
  </r>
  <r>
    <x v="33"/>
    <x v="33"/>
  </r>
  <r>
    <x v="34"/>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1"/>
    <x v="0"/>
    <x v="0"/>
    <n v="17757"/>
  </r>
  <r>
    <n v="1"/>
    <x v="0"/>
    <x v="1"/>
    <n v="40"/>
  </r>
  <r>
    <n v="1"/>
    <x v="0"/>
    <x v="2"/>
    <n v="17797"/>
  </r>
  <r>
    <n v="1"/>
    <x v="0"/>
    <x v="3"/>
    <n v="2"/>
  </r>
  <r>
    <n v="1"/>
    <x v="0"/>
    <x v="4"/>
    <n v="17799"/>
  </r>
  <r>
    <n v="2"/>
    <x v="1"/>
    <x v="0"/>
    <n v="603"/>
  </r>
  <r>
    <n v="2"/>
    <x v="1"/>
    <x v="1"/>
    <n v="0"/>
  </r>
  <r>
    <n v="2"/>
    <x v="1"/>
    <x v="2"/>
    <n v="603"/>
  </r>
  <r>
    <n v="2"/>
    <x v="1"/>
    <x v="3"/>
    <n v="6"/>
  </r>
  <r>
    <n v="2"/>
    <x v="1"/>
    <x v="4"/>
    <n v="609"/>
  </r>
  <r>
    <n v="3"/>
    <x v="2"/>
    <x v="0"/>
    <n v="46"/>
  </r>
  <r>
    <n v="3"/>
    <x v="2"/>
    <x v="1"/>
    <n v="0"/>
  </r>
  <r>
    <n v="3"/>
    <x v="2"/>
    <x v="2"/>
    <n v="46"/>
  </r>
  <r>
    <n v="3"/>
    <x v="2"/>
    <x v="3"/>
    <n v="43"/>
  </r>
  <r>
    <n v="3"/>
    <x v="2"/>
    <x v="4"/>
    <n v="89"/>
  </r>
  <r>
    <n v="4"/>
    <x v="3"/>
    <x v="0"/>
    <n v="3286"/>
  </r>
  <r>
    <n v="4"/>
    <x v="3"/>
    <x v="1"/>
    <n v="64"/>
  </r>
  <r>
    <n v="4"/>
    <x v="3"/>
    <x v="2"/>
    <n v="3350"/>
  </r>
  <r>
    <n v="4"/>
    <x v="3"/>
    <x v="3"/>
    <n v="6"/>
  </r>
  <r>
    <n v="4"/>
    <x v="3"/>
    <x v="4"/>
    <n v="3356"/>
  </r>
  <r>
    <n v="5"/>
    <x v="4"/>
    <x v="0"/>
    <n v="16124"/>
  </r>
  <r>
    <n v="5"/>
    <x v="4"/>
    <x v="1"/>
    <n v="4754"/>
  </r>
  <r>
    <n v="5"/>
    <x v="4"/>
    <x v="2"/>
    <n v="20878"/>
  </r>
  <r>
    <n v="5"/>
    <x v="4"/>
    <x v="3"/>
    <n v="7799"/>
  </r>
  <r>
    <n v="5"/>
    <x v="4"/>
    <x v="4"/>
    <n v="28677"/>
  </r>
  <r>
    <n v="6"/>
    <x v="5"/>
    <x v="0"/>
    <n v="2512"/>
  </r>
  <r>
    <n v="6"/>
    <x v="5"/>
    <x v="1"/>
    <n v="0"/>
  </r>
  <r>
    <n v="6"/>
    <x v="5"/>
    <x v="2"/>
    <n v="2512"/>
  </r>
  <r>
    <n v="6"/>
    <x v="5"/>
    <x v="3"/>
    <n v="0"/>
  </r>
  <r>
    <n v="6"/>
    <x v="5"/>
    <x v="4"/>
    <n v="2512"/>
  </r>
  <r>
    <n v="7"/>
    <x v="6"/>
    <x v="0"/>
    <n v="18832"/>
  </r>
  <r>
    <n v="7"/>
    <x v="6"/>
    <x v="1"/>
    <n v="0"/>
  </r>
  <r>
    <n v="7"/>
    <x v="6"/>
    <x v="2"/>
    <n v="18832"/>
  </r>
  <r>
    <n v="7"/>
    <x v="6"/>
    <x v="3"/>
    <n v="0"/>
  </r>
  <r>
    <n v="7"/>
    <x v="6"/>
    <x v="4"/>
    <n v="18832"/>
  </r>
  <r>
    <n v="8"/>
    <x v="7"/>
    <x v="0"/>
    <n v="615"/>
  </r>
  <r>
    <n v="8"/>
    <x v="7"/>
    <x v="1"/>
    <n v="0"/>
  </r>
  <r>
    <n v="8"/>
    <x v="7"/>
    <x v="2"/>
    <n v="615"/>
  </r>
  <r>
    <n v="8"/>
    <x v="7"/>
    <x v="3"/>
    <n v="0"/>
  </r>
  <r>
    <n v="8"/>
    <x v="7"/>
    <x v="4"/>
    <n v="615"/>
  </r>
  <r>
    <n v="9"/>
    <x v="8"/>
    <x v="0"/>
    <n v="24186"/>
  </r>
  <r>
    <n v="9"/>
    <x v="8"/>
    <x v="1"/>
    <n v="4070"/>
  </r>
  <r>
    <n v="9"/>
    <x v="8"/>
    <x v="2"/>
    <n v="28256"/>
  </r>
  <r>
    <n v="9"/>
    <x v="8"/>
    <x v="3"/>
    <n v="0"/>
  </r>
  <r>
    <n v="9"/>
    <x v="8"/>
    <x v="4"/>
    <n v="28256"/>
  </r>
  <r>
    <n v="10"/>
    <x v="9"/>
    <x v="0"/>
    <n v="577"/>
  </r>
  <r>
    <n v="10"/>
    <x v="9"/>
    <x v="1"/>
    <n v="270"/>
  </r>
  <r>
    <n v="10"/>
    <x v="9"/>
    <x v="2"/>
    <n v="847"/>
  </r>
  <r>
    <n v="10"/>
    <x v="9"/>
    <x v="3"/>
    <n v="423"/>
  </r>
  <r>
    <n v="10"/>
    <x v="9"/>
    <x v="4"/>
    <n v="1270"/>
  </r>
  <r>
    <n v="11"/>
    <x v="10"/>
    <x v="0"/>
    <n v="24149"/>
  </r>
  <r>
    <n v="11"/>
    <x v="10"/>
    <x v="1"/>
    <n v="0"/>
  </r>
  <r>
    <n v="11"/>
    <x v="10"/>
    <x v="2"/>
    <n v="24149"/>
  </r>
  <r>
    <n v="11"/>
    <x v="10"/>
    <x v="3"/>
    <n v="0"/>
  </r>
  <r>
    <n v="11"/>
    <x v="10"/>
    <x v="4"/>
    <n v="24149"/>
  </r>
  <r>
    <n v="12"/>
    <x v="11"/>
    <x v="0"/>
    <n v="10819"/>
  </r>
  <r>
    <n v="12"/>
    <x v="11"/>
    <x v="1"/>
    <n v="555"/>
  </r>
  <r>
    <n v="12"/>
    <x v="11"/>
    <x v="2"/>
    <n v="11374"/>
  </r>
  <r>
    <n v="12"/>
    <x v="11"/>
    <x v="3"/>
    <n v="0"/>
  </r>
  <r>
    <n v="12"/>
    <x v="11"/>
    <x v="4"/>
    <n v="11374"/>
  </r>
  <r>
    <n v="13"/>
    <x v="12"/>
    <x v="0"/>
    <n v="1445"/>
  </r>
  <r>
    <n v="13"/>
    <x v="12"/>
    <x v="1"/>
    <n v="122"/>
  </r>
  <r>
    <n v="13"/>
    <x v="12"/>
    <x v="2"/>
    <n v="1567"/>
  </r>
  <r>
    <n v="13"/>
    <x v="12"/>
    <x v="3"/>
    <n v="133"/>
  </r>
  <r>
    <n v="13"/>
    <x v="12"/>
    <x v="4"/>
    <n v="1700"/>
  </r>
  <r>
    <n v="14"/>
    <x v="13"/>
    <x v="0"/>
    <n v="2384"/>
  </r>
  <r>
    <n v="14"/>
    <x v="13"/>
    <x v="1"/>
    <n v="945"/>
  </r>
  <r>
    <n v="14"/>
    <x v="13"/>
    <x v="2"/>
    <n v="3329"/>
  </r>
  <r>
    <n v="14"/>
    <x v="13"/>
    <x v="3"/>
    <n v="122"/>
  </r>
  <r>
    <n v="14"/>
    <x v="13"/>
    <x v="4"/>
    <n v="3451"/>
  </r>
  <r>
    <n v="15"/>
    <x v="14"/>
    <x v="0"/>
    <n v="7551"/>
  </r>
  <r>
    <n v="15"/>
    <x v="14"/>
    <x v="1"/>
    <n v="1181"/>
  </r>
  <r>
    <n v="15"/>
    <x v="14"/>
    <x v="2"/>
    <n v="8732"/>
  </r>
  <r>
    <n v="15"/>
    <x v="14"/>
    <x v="3"/>
    <n v="911"/>
  </r>
  <r>
    <n v="15"/>
    <x v="14"/>
    <x v="4"/>
    <n v="9643"/>
  </r>
  <r>
    <n v="16"/>
    <x v="15"/>
    <x v="0"/>
    <n v="34387"/>
  </r>
  <r>
    <n v="16"/>
    <x v="15"/>
    <x v="1"/>
    <n v="2169"/>
  </r>
  <r>
    <n v="16"/>
    <x v="15"/>
    <x v="2"/>
    <n v="36556"/>
  </r>
  <r>
    <n v="16"/>
    <x v="15"/>
    <x v="3"/>
    <n v="0"/>
  </r>
  <r>
    <n v="16"/>
    <x v="15"/>
    <x v="4"/>
    <n v="36556"/>
  </r>
  <r>
    <n v="17"/>
    <x v="16"/>
    <x v="0"/>
    <n v="2801"/>
  </r>
  <r>
    <n v="17"/>
    <x v="16"/>
    <x v="1"/>
    <n v="2"/>
  </r>
  <r>
    <n v="17"/>
    <x v="16"/>
    <x v="2"/>
    <n v="2803"/>
  </r>
  <r>
    <n v="17"/>
    <x v="16"/>
    <x v="3"/>
    <n v="69"/>
  </r>
  <r>
    <n v="17"/>
    <x v="16"/>
    <x v="4"/>
    <n v="2872"/>
  </r>
  <r>
    <n v="18"/>
    <x v="17"/>
    <x v="0"/>
    <n v="0"/>
  </r>
  <r>
    <n v="18"/>
    <x v="17"/>
    <x v="1"/>
    <n v="194"/>
  </r>
  <r>
    <n v="18"/>
    <x v="17"/>
    <x v="2"/>
    <n v="194"/>
  </r>
  <r>
    <n v="18"/>
    <x v="17"/>
    <x v="3"/>
    <n v="0"/>
  </r>
  <r>
    <n v="18"/>
    <x v="17"/>
    <x v="4"/>
    <n v="194"/>
  </r>
  <r>
    <n v="19"/>
    <x v="18"/>
    <x v="0"/>
    <n v="18251"/>
  </r>
  <r>
    <n v="19"/>
    <x v="18"/>
    <x v="1"/>
    <n v="1481"/>
  </r>
  <r>
    <n v="19"/>
    <x v="18"/>
    <x v="2"/>
    <n v="19732"/>
  </r>
  <r>
    <n v="19"/>
    <x v="18"/>
    <x v="3"/>
    <n v="10135"/>
  </r>
  <r>
    <n v="19"/>
    <x v="18"/>
    <x v="4"/>
    <n v="29867"/>
  </r>
  <r>
    <n v="20"/>
    <x v="19"/>
    <x v="0"/>
    <n v="166465"/>
  </r>
  <r>
    <n v="20"/>
    <x v="19"/>
    <x v="1"/>
    <n v="0"/>
  </r>
  <r>
    <n v="20"/>
    <x v="19"/>
    <x v="2"/>
    <n v="166465"/>
  </r>
  <r>
    <n v="20"/>
    <x v="19"/>
    <x v="3"/>
    <n v="0"/>
  </r>
  <r>
    <n v="20"/>
    <x v="19"/>
    <x v="4"/>
    <n v="166465"/>
  </r>
  <r>
    <n v="21"/>
    <x v="20"/>
    <x v="0"/>
    <n v="443"/>
  </r>
  <r>
    <n v="21"/>
    <x v="20"/>
    <x v="1"/>
    <n v="69"/>
  </r>
  <r>
    <n v="21"/>
    <x v="20"/>
    <x v="2"/>
    <n v="512"/>
  </r>
  <r>
    <n v="21"/>
    <x v="20"/>
    <x v="3"/>
    <n v="69"/>
  </r>
  <r>
    <n v="21"/>
    <x v="20"/>
    <x v="4"/>
    <n v="581"/>
  </r>
  <r>
    <n v="22"/>
    <x v="21"/>
    <x v="0"/>
    <n v="152"/>
  </r>
  <r>
    <n v="22"/>
    <x v="21"/>
    <x v="1"/>
    <n v="0"/>
  </r>
  <r>
    <n v="22"/>
    <x v="21"/>
    <x v="2"/>
    <n v="152"/>
  </r>
  <r>
    <n v="22"/>
    <x v="21"/>
    <x v="3"/>
    <n v="0"/>
  </r>
  <r>
    <n v="22"/>
    <x v="21"/>
    <x v="4"/>
    <n v="152"/>
  </r>
  <r>
    <n v="23"/>
    <x v="22"/>
    <x v="0"/>
    <n v="188"/>
  </r>
  <r>
    <n v="23"/>
    <x v="22"/>
    <x v="1"/>
    <n v="393"/>
  </r>
  <r>
    <n v="23"/>
    <x v="22"/>
    <x v="2"/>
    <n v="581"/>
  </r>
  <r>
    <n v="23"/>
    <x v="22"/>
    <x v="3"/>
    <n v="743"/>
  </r>
  <r>
    <n v="23"/>
    <x v="22"/>
    <x v="4"/>
    <n v="1324"/>
  </r>
  <r>
    <n v="24"/>
    <x v="23"/>
    <x v="0"/>
    <n v="235"/>
  </r>
  <r>
    <n v="24"/>
    <x v="23"/>
    <x v="1"/>
    <n v="0"/>
  </r>
  <r>
    <n v="24"/>
    <x v="23"/>
    <x v="2"/>
    <n v="235"/>
  </r>
  <r>
    <n v="24"/>
    <x v="23"/>
    <x v="3"/>
    <n v="3"/>
  </r>
  <r>
    <n v="24"/>
    <x v="23"/>
    <x v="4"/>
    <n v="238"/>
  </r>
  <r>
    <n v="25"/>
    <x v="24"/>
    <x v="0"/>
    <n v="9072"/>
  </r>
  <r>
    <n v="25"/>
    <x v="24"/>
    <x v="1"/>
    <n v="2927"/>
  </r>
  <r>
    <n v="25"/>
    <x v="24"/>
    <x v="2"/>
    <n v="11999"/>
  </r>
  <r>
    <n v="25"/>
    <x v="24"/>
    <x v="3"/>
    <n v="212"/>
  </r>
  <r>
    <n v="25"/>
    <x v="24"/>
    <x v="4"/>
    <n v="12211"/>
  </r>
  <r>
    <n v="26"/>
    <x v="25"/>
    <x v="0"/>
    <n v="466"/>
  </r>
  <r>
    <n v="26"/>
    <x v="25"/>
    <x v="1"/>
    <n v="370"/>
  </r>
  <r>
    <n v="26"/>
    <x v="25"/>
    <x v="2"/>
    <n v="836"/>
  </r>
  <r>
    <n v="26"/>
    <x v="25"/>
    <x v="3"/>
    <n v="0"/>
  </r>
  <r>
    <n v="26"/>
    <x v="25"/>
    <x v="4"/>
    <n v="836"/>
  </r>
  <r>
    <n v="27"/>
    <x v="26"/>
    <x v="0"/>
    <n v="10775"/>
  </r>
  <r>
    <n v="27"/>
    <x v="26"/>
    <x v="1"/>
    <n v="613"/>
  </r>
  <r>
    <n v="27"/>
    <x v="26"/>
    <x v="2"/>
    <n v="11388"/>
  </r>
  <r>
    <n v="27"/>
    <x v="26"/>
    <x v="3"/>
    <n v="134"/>
  </r>
  <r>
    <n v="27"/>
    <x v="26"/>
    <x v="4"/>
    <n v="11522"/>
  </r>
  <r>
    <n v="28"/>
    <x v="27"/>
    <x v="0"/>
    <n v="23147"/>
  </r>
  <r>
    <n v="28"/>
    <x v="27"/>
    <x v="1"/>
    <n v="8153"/>
  </r>
  <r>
    <n v="28"/>
    <x v="27"/>
    <x v="2"/>
    <n v="31300"/>
  </r>
  <r>
    <n v="28"/>
    <x v="27"/>
    <x v="3"/>
    <n v="0"/>
  </r>
  <r>
    <n v="28"/>
    <x v="27"/>
    <x v="4"/>
    <n v="31300"/>
  </r>
  <r>
    <n v="29"/>
    <x v="28"/>
    <x v="0"/>
    <n v="163"/>
  </r>
  <r>
    <n v="29"/>
    <x v="28"/>
    <x v="1"/>
    <n v="0"/>
  </r>
  <r>
    <n v="29"/>
    <x v="28"/>
    <x v="2"/>
    <n v="163"/>
  </r>
  <r>
    <n v="29"/>
    <x v="28"/>
    <x v="3"/>
    <n v="105"/>
  </r>
  <r>
    <n v="29"/>
    <x v="28"/>
    <x v="4"/>
    <n v="268"/>
  </r>
  <r>
    <n v="30"/>
    <x v="29"/>
    <x v="0"/>
    <n v="89648"/>
  </r>
  <r>
    <n v="30"/>
    <x v="29"/>
    <x v="1"/>
    <n v="3096"/>
  </r>
  <r>
    <n v="30"/>
    <x v="29"/>
    <x v="2"/>
    <n v="92744"/>
  </r>
  <r>
    <n v="30"/>
    <x v="29"/>
    <x v="3"/>
    <n v="0"/>
  </r>
  <r>
    <n v="30"/>
    <x v="29"/>
    <x v="4"/>
    <n v="92744"/>
  </r>
  <r>
    <n v="31"/>
    <x v="30"/>
    <x v="0"/>
    <n v="6000"/>
  </r>
  <r>
    <n v="31"/>
    <x v="30"/>
    <x v="1"/>
    <n v="4209"/>
  </r>
  <r>
    <n v="31"/>
    <x v="30"/>
    <x v="2"/>
    <n v="10209"/>
  </r>
  <r>
    <n v="31"/>
    <x v="30"/>
    <x v="3"/>
    <n v="5256"/>
  </r>
  <r>
    <n v="31"/>
    <x v="30"/>
    <x v="4"/>
    <n v="15465"/>
  </r>
  <r>
    <n v="32"/>
    <x v="31"/>
    <x v="0"/>
    <n v="883"/>
  </r>
  <r>
    <n v="32"/>
    <x v="31"/>
    <x v="1"/>
    <n v="190"/>
  </r>
  <r>
    <n v="32"/>
    <x v="31"/>
    <x v="2"/>
    <n v="1073"/>
  </r>
  <r>
    <n v="32"/>
    <x v="31"/>
    <x v="3"/>
    <n v="16"/>
  </r>
  <r>
    <n v="32"/>
    <x v="31"/>
    <x v="4"/>
    <n v="1089"/>
  </r>
  <r>
    <n v="33"/>
    <x v="32"/>
    <x v="0"/>
    <n v="62490"/>
  </r>
  <r>
    <n v="33"/>
    <x v="32"/>
    <x v="1"/>
    <n v="6802"/>
  </r>
  <r>
    <n v="33"/>
    <x v="32"/>
    <x v="2"/>
    <n v="69292"/>
  </r>
  <r>
    <n v="33"/>
    <x v="32"/>
    <x v="3"/>
    <n v="1078"/>
  </r>
  <r>
    <n v="33"/>
    <x v="32"/>
    <x v="4"/>
    <n v="70370"/>
  </r>
  <r>
    <n v="34"/>
    <x v="33"/>
    <x v="0"/>
    <n v="4547"/>
  </r>
  <r>
    <n v="34"/>
    <x v="33"/>
    <x v="1"/>
    <n v="95"/>
  </r>
  <r>
    <n v="34"/>
    <x v="33"/>
    <x v="2"/>
    <n v="4642"/>
  </r>
  <r>
    <n v="34"/>
    <x v="33"/>
    <x v="3"/>
    <n v="52"/>
  </r>
  <r>
    <n v="34"/>
    <x v="33"/>
    <x v="4"/>
    <n v="4694"/>
  </r>
  <r>
    <n v="35"/>
    <x v="34"/>
    <x v="0"/>
    <n v="299"/>
  </r>
  <r>
    <n v="35"/>
    <x v="34"/>
    <x v="1"/>
    <n v="5447"/>
  </r>
  <r>
    <n v="35"/>
    <x v="34"/>
    <x v="2"/>
    <n v="5746"/>
  </r>
  <r>
    <n v="35"/>
    <x v="34"/>
    <x v="3"/>
    <n v="0"/>
  </r>
  <r>
    <n v="35"/>
    <x v="34"/>
    <x v="4"/>
    <n v="57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n v="1"/>
    <s v="Andhra Pradesh"/>
    <s v=" Public Toilte seats (2019)"/>
    <n v="17757"/>
    <x v="0"/>
  </r>
  <r>
    <n v="1"/>
    <s v="Andhra Pradesh"/>
    <s v="Additional Seats (2020–Mar 2021)"/>
    <n v="40"/>
    <x v="0"/>
  </r>
  <r>
    <n v="1"/>
    <s v="Andhra Pradesh"/>
    <s v="Cumulative Seats till Mar 2021"/>
    <n v="17797"/>
    <x v="0"/>
  </r>
  <r>
    <n v="1"/>
    <s v="Andhra Pradesh"/>
    <s v="Increase from Mar 2021 to Latest Available"/>
    <n v="2"/>
    <x v="0"/>
  </r>
  <r>
    <n v="1"/>
    <s v="Andhra Pradesh"/>
    <s v="Cumulative Seats till 2023"/>
    <n v="17799"/>
    <x v="0"/>
  </r>
  <r>
    <n v="2"/>
    <s v="Andaman and Nicobar"/>
    <s v=" Public Toilte seats (2019)"/>
    <n v="603"/>
    <x v="1"/>
  </r>
  <r>
    <n v="2"/>
    <s v="Andaman and Nicobar"/>
    <s v="Additional Seats (2020–Mar 2021)"/>
    <n v="0"/>
    <x v="1"/>
  </r>
  <r>
    <n v="2"/>
    <s v="Andaman and Nicobar"/>
    <s v="Cumulative Seats till Mar 2021"/>
    <n v="603"/>
    <x v="1"/>
  </r>
  <r>
    <n v="2"/>
    <s v="Andaman and Nicobar"/>
    <s v="Increase from Mar 2021 to Latest Available"/>
    <n v="6"/>
    <x v="1"/>
  </r>
  <r>
    <n v="2"/>
    <s v="Andaman and Nicobar"/>
    <s v="Cumulative Seats till 2023"/>
    <n v="609"/>
    <x v="1"/>
  </r>
  <r>
    <n v="3"/>
    <s v="Arunachal Pradesh"/>
    <s v=" Public Toilte seats (2019)"/>
    <n v="46"/>
    <x v="2"/>
  </r>
  <r>
    <n v="3"/>
    <s v="Arunachal Pradesh"/>
    <s v="Additional Seats (2020–Mar 2021)"/>
    <n v="0"/>
    <x v="2"/>
  </r>
  <r>
    <n v="3"/>
    <s v="Arunachal Pradesh"/>
    <s v="Cumulative Seats till Mar 2021"/>
    <n v="46"/>
    <x v="2"/>
  </r>
  <r>
    <n v="3"/>
    <s v="Arunachal Pradesh"/>
    <s v="Increase from Mar 2021 to Latest Available"/>
    <n v="43"/>
    <x v="2"/>
  </r>
  <r>
    <n v="3"/>
    <s v="Arunachal Pradesh"/>
    <s v="Cumulative Seats till 2023"/>
    <n v="89"/>
    <x v="2"/>
  </r>
  <r>
    <n v="4"/>
    <s v="Assam"/>
    <s v=" Public Toilte seats (2019)"/>
    <n v="3286"/>
    <x v="2"/>
  </r>
  <r>
    <n v="4"/>
    <s v="Assam"/>
    <s v="Additional Seats (2020–Mar 2021)"/>
    <n v="64"/>
    <x v="2"/>
  </r>
  <r>
    <n v="4"/>
    <s v="Assam"/>
    <s v="Cumulative Seats till Mar 2021"/>
    <n v="3350"/>
    <x v="2"/>
  </r>
  <r>
    <n v="4"/>
    <s v="Assam"/>
    <s v="Increase from Mar 2021 to Latest Available"/>
    <n v="6"/>
    <x v="2"/>
  </r>
  <r>
    <n v="4"/>
    <s v="Assam"/>
    <s v="Cumulative Seats till 2023"/>
    <n v="3356"/>
    <x v="2"/>
  </r>
  <r>
    <n v="5"/>
    <s v="Bihar"/>
    <s v=" Public Toilte seats (2019)"/>
    <n v="16124"/>
    <x v="3"/>
  </r>
  <r>
    <n v="5"/>
    <s v="Bihar"/>
    <s v="Additional Seats (2020–Mar 2021)"/>
    <n v="4754"/>
    <x v="3"/>
  </r>
  <r>
    <n v="5"/>
    <s v="Bihar"/>
    <s v="Cumulative Seats till Mar 2021"/>
    <n v="20878"/>
    <x v="3"/>
  </r>
  <r>
    <n v="5"/>
    <s v="Bihar"/>
    <s v="Increase from Mar 2021 to Latest Available"/>
    <n v="7799"/>
    <x v="3"/>
  </r>
  <r>
    <n v="5"/>
    <s v="Bihar"/>
    <s v="Cumulative Seats till 2023"/>
    <n v="28677"/>
    <x v="3"/>
  </r>
  <r>
    <n v="6"/>
    <s v="Chandigarh"/>
    <s v=" Public Toilte seats (2019)"/>
    <n v="2512"/>
    <x v="4"/>
  </r>
  <r>
    <n v="6"/>
    <s v="Chandigarh"/>
    <s v="Additional Seats (2020–Mar 2021)"/>
    <n v="0"/>
    <x v="4"/>
  </r>
  <r>
    <n v="6"/>
    <s v="Chandigarh"/>
    <s v="Cumulative Seats till Mar 2021"/>
    <n v="2512"/>
    <x v="4"/>
  </r>
  <r>
    <n v="6"/>
    <s v="Chandigarh"/>
    <s v="Increase from Mar 2021 to Latest Available"/>
    <n v="0"/>
    <x v="4"/>
  </r>
  <r>
    <n v="6"/>
    <s v="Chandigarh"/>
    <s v="Cumulative Seats till 2023"/>
    <n v="2512"/>
    <x v="4"/>
  </r>
  <r>
    <n v="7"/>
    <s v="Chhattisgarh"/>
    <s v=" Public Toilte seats (2019)"/>
    <n v="18832"/>
    <x v="5"/>
  </r>
  <r>
    <n v="7"/>
    <s v="Chhattisgarh"/>
    <s v="Additional Seats (2020–Mar 2021)"/>
    <n v="0"/>
    <x v="5"/>
  </r>
  <r>
    <n v="7"/>
    <s v="Chhattisgarh"/>
    <s v="Cumulative Seats till Mar 2021"/>
    <n v="18832"/>
    <x v="5"/>
  </r>
  <r>
    <n v="7"/>
    <s v="Chhattisgarh"/>
    <s v="Increase from Mar 2021 to Latest Available"/>
    <n v="0"/>
    <x v="5"/>
  </r>
  <r>
    <n v="7"/>
    <s v="Chhattisgarh"/>
    <s v="Cumulative Seats till 2023"/>
    <n v="18832"/>
    <x v="5"/>
  </r>
  <r>
    <n v="8"/>
    <s v="Daman &amp; Diu and Dadra &amp; Nagra Haveli"/>
    <s v=" Public Toilte seats (2019)"/>
    <n v="615"/>
    <x v="1"/>
  </r>
  <r>
    <n v="8"/>
    <s v="Daman &amp; Diu and Dadra &amp; Nagra Haveli"/>
    <s v="Additional Seats (2020–Mar 2021)"/>
    <n v="0"/>
    <x v="1"/>
  </r>
  <r>
    <n v="8"/>
    <s v="Daman &amp; Diu and Dadra &amp; Nagra Haveli"/>
    <s v="Cumulative Seats till Mar 2021"/>
    <n v="615"/>
    <x v="1"/>
  </r>
  <r>
    <n v="8"/>
    <s v="Daman &amp; Diu and Dadra &amp; Nagra Haveli"/>
    <s v="Increase from Mar 2021 to Latest Available"/>
    <n v="0"/>
    <x v="1"/>
  </r>
  <r>
    <n v="8"/>
    <s v="Daman &amp; Diu and Dadra &amp; Nagra Haveli"/>
    <s v="Cumulative Seats till 2023"/>
    <n v="615"/>
    <x v="1"/>
  </r>
  <r>
    <n v="9"/>
    <s v="Delhi"/>
    <s v=" Public Toilte seats (2019)"/>
    <n v="24186"/>
    <x v="4"/>
  </r>
  <r>
    <n v="9"/>
    <s v="Delhi"/>
    <s v="Additional Seats (2020–Mar 2021)"/>
    <n v="4070"/>
    <x v="4"/>
  </r>
  <r>
    <n v="9"/>
    <s v="Delhi"/>
    <s v="Cumulative Seats till Mar 2021"/>
    <n v="28256"/>
    <x v="4"/>
  </r>
  <r>
    <n v="9"/>
    <s v="Delhi"/>
    <s v="Increase from Mar 2021 to Latest Available"/>
    <n v="0"/>
    <x v="4"/>
  </r>
  <r>
    <n v="9"/>
    <s v="Delhi"/>
    <s v="Cumulative Seats till 2023"/>
    <n v="28256"/>
    <x v="4"/>
  </r>
  <r>
    <n v="10"/>
    <s v="Goa"/>
    <s v=" Public Toilte seats (2019)"/>
    <n v="577"/>
    <x v="6"/>
  </r>
  <r>
    <n v="10"/>
    <s v="Goa"/>
    <s v="Additional Seats (2020–Mar 2021)"/>
    <n v="270"/>
    <x v="6"/>
  </r>
  <r>
    <n v="10"/>
    <s v="Goa"/>
    <s v="Cumulative Seats till Mar 2021"/>
    <n v="847"/>
    <x v="6"/>
  </r>
  <r>
    <n v="10"/>
    <s v="Goa"/>
    <s v="Increase from Mar 2021 to Latest Available"/>
    <n v="423"/>
    <x v="6"/>
  </r>
  <r>
    <n v="10"/>
    <s v="Goa"/>
    <s v="Cumulative Seats till 2023"/>
    <n v="1270"/>
    <x v="6"/>
  </r>
  <r>
    <n v="11"/>
    <s v="Gujarat"/>
    <s v=" Public Toilte seats (2019)"/>
    <n v="24149"/>
    <x v="6"/>
  </r>
  <r>
    <n v="11"/>
    <s v="Gujarat"/>
    <s v="Additional Seats (2020–Mar 2021)"/>
    <n v="0"/>
    <x v="6"/>
  </r>
  <r>
    <n v="11"/>
    <s v="Gujarat"/>
    <s v="Cumulative Seats till Mar 2021"/>
    <n v="24149"/>
    <x v="6"/>
  </r>
  <r>
    <n v="11"/>
    <s v="Gujarat"/>
    <s v="Increase from Mar 2021 to Latest Available"/>
    <n v="0"/>
    <x v="6"/>
  </r>
  <r>
    <n v="11"/>
    <s v="Gujarat"/>
    <s v="Cumulative Seats till 2023"/>
    <n v="24149"/>
    <x v="6"/>
  </r>
  <r>
    <n v="12"/>
    <s v="Haryana"/>
    <s v=" Public Toilte seats (2019)"/>
    <n v="10819"/>
    <x v="4"/>
  </r>
  <r>
    <n v="12"/>
    <s v="Haryana"/>
    <s v="Additional Seats (2020–Mar 2021)"/>
    <n v="555"/>
    <x v="4"/>
  </r>
  <r>
    <n v="12"/>
    <s v="Haryana"/>
    <s v="Cumulative Seats till Mar 2021"/>
    <n v="11374"/>
    <x v="4"/>
  </r>
  <r>
    <n v="12"/>
    <s v="Haryana"/>
    <s v="Increase from Mar 2021 to Latest Available"/>
    <n v="0"/>
    <x v="4"/>
  </r>
  <r>
    <n v="12"/>
    <s v="Haryana"/>
    <s v="Cumulative Seats till 2023"/>
    <n v="11374"/>
    <x v="4"/>
  </r>
  <r>
    <n v="13"/>
    <s v="Himachal Pradesh"/>
    <s v=" Public Toilte seats (2019)"/>
    <n v="1445"/>
    <x v="4"/>
  </r>
  <r>
    <n v="13"/>
    <s v="Himachal Pradesh"/>
    <s v="Additional Seats (2020–Mar 2021)"/>
    <n v="122"/>
    <x v="4"/>
  </r>
  <r>
    <n v="13"/>
    <s v="Himachal Pradesh"/>
    <s v="Cumulative Seats till Mar 2021"/>
    <n v="1567"/>
    <x v="4"/>
  </r>
  <r>
    <n v="13"/>
    <s v="Himachal Pradesh"/>
    <s v="Increase from Mar 2021 to Latest Available"/>
    <n v="133"/>
    <x v="4"/>
  </r>
  <r>
    <n v="13"/>
    <s v="Himachal Pradesh"/>
    <s v="Cumulative Seats till 2023"/>
    <n v="1700"/>
    <x v="4"/>
  </r>
  <r>
    <n v="14"/>
    <s v="Jammu and Kashmir"/>
    <s v=" Public Toilte seats (2019)"/>
    <n v="2384"/>
    <x v="4"/>
  </r>
  <r>
    <n v="14"/>
    <s v="Jammu and Kashmir"/>
    <s v="Additional Seats (2020–Mar 2021)"/>
    <n v="945"/>
    <x v="4"/>
  </r>
  <r>
    <n v="14"/>
    <s v="Jammu and Kashmir"/>
    <s v="Cumulative Seats till Mar 2021"/>
    <n v="3329"/>
    <x v="4"/>
  </r>
  <r>
    <n v="14"/>
    <s v="Jammu and Kashmir"/>
    <s v="Increase from Mar 2021 to Latest Available"/>
    <n v="122"/>
    <x v="4"/>
  </r>
  <r>
    <n v="14"/>
    <s v="Jammu and Kashmir"/>
    <s v="Cumulative Seats till 2023"/>
    <n v="3451"/>
    <x v="4"/>
  </r>
  <r>
    <n v="15"/>
    <s v="Jharkhand"/>
    <s v=" Public Toilte seats (2019)"/>
    <n v="7551"/>
    <x v="3"/>
  </r>
  <r>
    <n v="15"/>
    <s v="Jharkhand"/>
    <s v="Additional Seats (2020–Mar 2021)"/>
    <n v="1181"/>
    <x v="3"/>
  </r>
  <r>
    <n v="15"/>
    <s v="Jharkhand"/>
    <s v="Cumulative Seats till Mar 2021"/>
    <n v="8732"/>
    <x v="3"/>
  </r>
  <r>
    <n v="15"/>
    <s v="Jharkhand"/>
    <s v="Increase from Mar 2021 to Latest Available"/>
    <n v="911"/>
    <x v="3"/>
  </r>
  <r>
    <n v="15"/>
    <s v="Jharkhand"/>
    <s v="Cumulative Seats till 2023"/>
    <n v="9643"/>
    <x v="3"/>
  </r>
  <r>
    <n v="16"/>
    <s v="Karnataka"/>
    <s v=" Public Toilte seats (2019)"/>
    <n v="34387"/>
    <x v="0"/>
  </r>
  <r>
    <n v="16"/>
    <s v="Karnataka"/>
    <s v="Additional Seats (2020–Mar 2021)"/>
    <n v="2169"/>
    <x v="0"/>
  </r>
  <r>
    <n v="16"/>
    <s v="Karnataka"/>
    <s v="Cumulative Seats till Mar 2021"/>
    <n v="36556"/>
    <x v="0"/>
  </r>
  <r>
    <n v="16"/>
    <s v="Karnataka"/>
    <s v="Increase from Mar 2021 to Latest Available"/>
    <n v="0"/>
    <x v="0"/>
  </r>
  <r>
    <n v="16"/>
    <s v="Karnataka"/>
    <s v="Cumulative Seats till 2023"/>
    <n v="36556"/>
    <x v="0"/>
  </r>
  <r>
    <n v="17"/>
    <s v="Kerala"/>
    <s v=" Public Toilte seats (2019)"/>
    <n v="2801"/>
    <x v="0"/>
  </r>
  <r>
    <n v="17"/>
    <s v="Kerala"/>
    <s v="Additional Seats (2020–Mar 2021)"/>
    <n v="2"/>
    <x v="0"/>
  </r>
  <r>
    <n v="17"/>
    <s v="Kerala"/>
    <s v="Cumulative Seats till Mar 2021"/>
    <n v="2803"/>
    <x v="0"/>
  </r>
  <r>
    <n v="17"/>
    <s v="Kerala"/>
    <s v="Increase from Mar 2021 to Latest Available"/>
    <n v="69"/>
    <x v="0"/>
  </r>
  <r>
    <n v="17"/>
    <s v="Kerala"/>
    <s v="Cumulative Seats till 2023"/>
    <n v="2872"/>
    <x v="0"/>
  </r>
  <r>
    <n v="18"/>
    <s v="Ladakh"/>
    <s v=" Public Toilte seats (2019)"/>
    <n v="0"/>
    <x v="4"/>
  </r>
  <r>
    <n v="18"/>
    <s v="Ladakh"/>
    <s v="Additional Seats (2020–Mar 2021)"/>
    <n v="194"/>
    <x v="4"/>
  </r>
  <r>
    <n v="18"/>
    <s v="Ladakh"/>
    <s v="Cumulative Seats till Mar 2021"/>
    <n v="194"/>
    <x v="4"/>
  </r>
  <r>
    <n v="18"/>
    <s v="Ladakh"/>
    <s v="Increase from Mar 2021 to Latest Available"/>
    <n v="0"/>
    <x v="4"/>
  </r>
  <r>
    <n v="18"/>
    <s v="Ladakh"/>
    <s v="Cumulative Seats till 2023"/>
    <n v="194"/>
    <x v="4"/>
  </r>
  <r>
    <n v="19"/>
    <s v="Madhya Pradesh"/>
    <s v=" Public Toilte seats (2019)"/>
    <n v="18251"/>
    <x v="5"/>
  </r>
  <r>
    <n v="19"/>
    <s v="Madhya Pradesh"/>
    <s v="Additional Seats (2020–Mar 2021)"/>
    <n v="1481"/>
    <x v="5"/>
  </r>
  <r>
    <n v="19"/>
    <s v="Madhya Pradesh"/>
    <s v="Cumulative Seats till Mar 2021"/>
    <n v="19732"/>
    <x v="5"/>
  </r>
  <r>
    <n v="19"/>
    <s v="Madhya Pradesh"/>
    <s v="Increase from Mar 2021 to Latest Available"/>
    <n v="10135"/>
    <x v="5"/>
  </r>
  <r>
    <n v="19"/>
    <s v="Madhya Pradesh"/>
    <s v="Cumulative Seats till 2023"/>
    <n v="29867"/>
    <x v="5"/>
  </r>
  <r>
    <n v="20"/>
    <s v="Maharashtra"/>
    <s v=" Public Toilte seats (2019)"/>
    <n v="166465"/>
    <x v="6"/>
  </r>
  <r>
    <n v="20"/>
    <s v="Maharashtra"/>
    <s v="Additional Seats (2020–Mar 2021)"/>
    <n v="0"/>
    <x v="6"/>
  </r>
  <r>
    <n v="20"/>
    <s v="Maharashtra"/>
    <s v="Cumulative Seats till Mar 2021"/>
    <n v="166465"/>
    <x v="6"/>
  </r>
  <r>
    <n v="20"/>
    <s v="Maharashtra"/>
    <s v="Increase from Mar 2021 to Latest Available"/>
    <n v="0"/>
    <x v="6"/>
  </r>
  <r>
    <n v="20"/>
    <s v="Maharashtra"/>
    <s v="Cumulative Seats till 2023"/>
    <n v="166465"/>
    <x v="6"/>
  </r>
  <r>
    <n v="21"/>
    <s v="Manipur"/>
    <s v=" Public Toilte seats (2019)"/>
    <n v="443"/>
    <x v="2"/>
  </r>
  <r>
    <n v="21"/>
    <s v="Manipur"/>
    <s v="Additional Seats (2020–Mar 2021)"/>
    <n v="69"/>
    <x v="2"/>
  </r>
  <r>
    <n v="21"/>
    <s v="Manipur"/>
    <s v="Cumulative Seats till Mar 2021"/>
    <n v="512"/>
    <x v="2"/>
  </r>
  <r>
    <n v="21"/>
    <s v="Manipur"/>
    <s v="Increase from Mar 2021 to Latest Available"/>
    <n v="69"/>
    <x v="2"/>
  </r>
  <r>
    <n v="21"/>
    <s v="Manipur"/>
    <s v="Cumulative Seats till 2023"/>
    <n v="581"/>
    <x v="2"/>
  </r>
  <r>
    <n v="22"/>
    <s v="Meghalaya"/>
    <s v=" Public Toilte seats (2019)"/>
    <n v="152"/>
    <x v="2"/>
  </r>
  <r>
    <n v="22"/>
    <s v="Meghalaya"/>
    <s v="Additional Seats (2020–Mar 2021)"/>
    <n v="0"/>
    <x v="2"/>
  </r>
  <r>
    <n v="22"/>
    <s v="Meghalaya"/>
    <s v="Cumulative Seats till Mar 2021"/>
    <n v="152"/>
    <x v="2"/>
  </r>
  <r>
    <n v="22"/>
    <s v="Meghalaya"/>
    <s v="Increase from Mar 2021 to Latest Available"/>
    <n v="0"/>
    <x v="2"/>
  </r>
  <r>
    <n v="22"/>
    <s v="Meghalaya"/>
    <s v="Cumulative Seats till 2023"/>
    <n v="152"/>
    <x v="2"/>
  </r>
  <r>
    <n v="23"/>
    <s v="Mizoram"/>
    <s v=" Public Toilte seats (2019)"/>
    <n v="188"/>
    <x v="2"/>
  </r>
  <r>
    <n v="23"/>
    <s v="Mizoram"/>
    <s v="Additional Seats (2020–Mar 2021)"/>
    <n v="393"/>
    <x v="2"/>
  </r>
  <r>
    <n v="23"/>
    <s v="Mizoram"/>
    <s v="Cumulative Seats till Mar 2021"/>
    <n v="581"/>
    <x v="2"/>
  </r>
  <r>
    <n v="23"/>
    <s v="Mizoram"/>
    <s v="Increase from Mar 2021 to Latest Available"/>
    <n v="743"/>
    <x v="2"/>
  </r>
  <r>
    <n v="23"/>
    <s v="Mizoram"/>
    <s v="Cumulative Seats till 2023"/>
    <n v="1324"/>
    <x v="2"/>
  </r>
  <r>
    <n v="24"/>
    <s v="Nagaland"/>
    <s v=" Public Toilte seats (2019)"/>
    <n v="235"/>
    <x v="2"/>
  </r>
  <r>
    <n v="24"/>
    <s v="Nagaland"/>
    <s v="Additional Seats (2020–Mar 2021)"/>
    <n v="0"/>
    <x v="2"/>
  </r>
  <r>
    <n v="24"/>
    <s v="Nagaland"/>
    <s v="Cumulative Seats till Mar 2021"/>
    <n v="235"/>
    <x v="2"/>
  </r>
  <r>
    <n v="24"/>
    <s v="Nagaland"/>
    <s v="Increase from Mar 2021 to Latest Available"/>
    <n v="3"/>
    <x v="2"/>
  </r>
  <r>
    <n v="24"/>
    <s v="Nagaland"/>
    <s v="Cumulative Seats till 2023"/>
    <n v="238"/>
    <x v="2"/>
  </r>
  <r>
    <n v="25"/>
    <s v="Odisha"/>
    <s v=" Public Toilte seats (2019)"/>
    <n v="9072"/>
    <x v="3"/>
  </r>
  <r>
    <n v="25"/>
    <s v="Odisha"/>
    <s v="Additional Seats (2020–Mar 2021)"/>
    <n v="2927"/>
    <x v="3"/>
  </r>
  <r>
    <n v="25"/>
    <s v="Odisha"/>
    <s v="Cumulative Seats till Mar 2021"/>
    <n v="11999"/>
    <x v="3"/>
  </r>
  <r>
    <n v="25"/>
    <s v="Odisha"/>
    <s v="Increase from Mar 2021 to Latest Available"/>
    <n v="212"/>
    <x v="3"/>
  </r>
  <r>
    <n v="25"/>
    <s v="Odisha"/>
    <s v="Cumulative Seats till 2023"/>
    <n v="12211"/>
    <x v="3"/>
  </r>
  <r>
    <n v="26"/>
    <s v="Puducherry"/>
    <s v=" Public Toilte seats (2019)"/>
    <n v="466"/>
    <x v="0"/>
  </r>
  <r>
    <n v="26"/>
    <s v="Puducherry"/>
    <s v="Additional Seats (2020–Mar 2021)"/>
    <n v="370"/>
    <x v="0"/>
  </r>
  <r>
    <n v="26"/>
    <s v="Puducherry"/>
    <s v="Cumulative Seats till Mar 2021"/>
    <n v="836"/>
    <x v="0"/>
  </r>
  <r>
    <n v="26"/>
    <s v="Puducherry"/>
    <s v="Increase from Mar 2021 to Latest Available"/>
    <n v="0"/>
    <x v="0"/>
  </r>
  <r>
    <n v="26"/>
    <s v="Puducherry"/>
    <s v="Cumulative Seats till 2023"/>
    <n v="836"/>
    <x v="0"/>
  </r>
  <r>
    <n v="27"/>
    <s v="Punjab"/>
    <s v=" Public Toilte seats (2019)"/>
    <n v="10775"/>
    <x v="4"/>
  </r>
  <r>
    <n v="27"/>
    <s v="Punjab"/>
    <s v="Additional Seats (2020–Mar 2021)"/>
    <n v="613"/>
    <x v="4"/>
  </r>
  <r>
    <n v="27"/>
    <s v="Punjab"/>
    <s v="Cumulative Seats till Mar 2021"/>
    <n v="11388"/>
    <x v="4"/>
  </r>
  <r>
    <n v="27"/>
    <s v="Punjab"/>
    <s v="Increase from Mar 2021 to Latest Available"/>
    <n v="134"/>
    <x v="4"/>
  </r>
  <r>
    <n v="27"/>
    <s v="Punjab"/>
    <s v="Cumulative Seats till 2023"/>
    <n v="11522"/>
    <x v="4"/>
  </r>
  <r>
    <n v="28"/>
    <s v="Rajasthan"/>
    <s v=" Public Toilte seats (2019)"/>
    <n v="23147"/>
    <x v="4"/>
  </r>
  <r>
    <n v="28"/>
    <s v="Rajasthan"/>
    <s v="Additional Seats (2020–Mar 2021)"/>
    <n v="8153"/>
    <x v="4"/>
  </r>
  <r>
    <n v="28"/>
    <s v="Rajasthan"/>
    <s v="Cumulative Seats till Mar 2021"/>
    <n v="31300"/>
    <x v="4"/>
  </r>
  <r>
    <n v="28"/>
    <s v="Rajasthan"/>
    <s v="Increase from Mar 2021 to Latest Available"/>
    <n v="0"/>
    <x v="4"/>
  </r>
  <r>
    <n v="28"/>
    <s v="Rajasthan"/>
    <s v="Cumulative Seats till 2023"/>
    <n v="31300"/>
    <x v="4"/>
  </r>
  <r>
    <n v="29"/>
    <s v="Sikkim"/>
    <s v=" Public Toilte seats (2019)"/>
    <n v="163"/>
    <x v="2"/>
  </r>
  <r>
    <n v="29"/>
    <s v="Sikkim"/>
    <s v="Additional Seats (2020–Mar 2021)"/>
    <n v="0"/>
    <x v="2"/>
  </r>
  <r>
    <n v="29"/>
    <s v="Sikkim"/>
    <s v="Cumulative Seats till Mar 2021"/>
    <n v="163"/>
    <x v="2"/>
  </r>
  <r>
    <n v="29"/>
    <s v="Sikkim"/>
    <s v="Increase from Mar 2021 to Latest Available"/>
    <n v="105"/>
    <x v="2"/>
  </r>
  <r>
    <n v="29"/>
    <s v="Sikkim"/>
    <s v="Cumulative Seats till 2023"/>
    <n v="268"/>
    <x v="2"/>
  </r>
  <r>
    <n v="30"/>
    <s v="Tamil Nadu"/>
    <s v=" Public Toilte seats (2019)"/>
    <n v="89648"/>
    <x v="0"/>
  </r>
  <r>
    <n v="30"/>
    <s v="Tamil Nadu"/>
    <s v="Additional Seats (2020–Mar 2021)"/>
    <n v="3096"/>
    <x v="0"/>
  </r>
  <r>
    <n v="30"/>
    <s v="Tamil Nadu"/>
    <s v="Cumulative Seats till Mar 2021"/>
    <n v="92744"/>
    <x v="0"/>
  </r>
  <r>
    <n v="30"/>
    <s v="Tamil Nadu"/>
    <s v="Increase from Mar 2021 to Latest Available"/>
    <n v="0"/>
    <x v="0"/>
  </r>
  <r>
    <n v="30"/>
    <s v="Tamil Nadu"/>
    <s v="Cumulative Seats till 2023"/>
    <n v="92744"/>
    <x v="0"/>
  </r>
  <r>
    <n v="31"/>
    <s v="Telangana"/>
    <s v=" Public Toilte seats (2019)"/>
    <n v="6000"/>
    <x v="0"/>
  </r>
  <r>
    <n v="31"/>
    <s v="Telangana"/>
    <s v="Additional Seats (2020–Mar 2021)"/>
    <n v="4209"/>
    <x v="0"/>
  </r>
  <r>
    <n v="31"/>
    <s v="Telangana"/>
    <s v="Cumulative Seats till Mar 2021"/>
    <n v="10209"/>
    <x v="0"/>
  </r>
  <r>
    <n v="31"/>
    <s v="Telangana"/>
    <s v="Increase from Mar 2021 to Latest Available"/>
    <n v="5256"/>
    <x v="0"/>
  </r>
  <r>
    <n v="31"/>
    <s v="Telangana"/>
    <s v="Cumulative Seats till 2023"/>
    <n v="15465"/>
    <x v="0"/>
  </r>
  <r>
    <n v="32"/>
    <s v="Tripura"/>
    <s v=" Public Toilte seats (2019)"/>
    <n v="883"/>
    <x v="2"/>
  </r>
  <r>
    <n v="32"/>
    <s v="Tripura"/>
    <s v="Additional Seats (2020–Mar 2021)"/>
    <n v="190"/>
    <x v="2"/>
  </r>
  <r>
    <n v="32"/>
    <s v="Tripura"/>
    <s v="Cumulative Seats till Mar 2021"/>
    <n v="1073"/>
    <x v="2"/>
  </r>
  <r>
    <n v="32"/>
    <s v="Tripura"/>
    <s v="Increase from Mar 2021 to Latest Available"/>
    <n v="16"/>
    <x v="2"/>
  </r>
  <r>
    <n v="32"/>
    <s v="Tripura"/>
    <s v="Cumulative Seats till 2023"/>
    <n v="1089"/>
    <x v="2"/>
  </r>
  <r>
    <n v="33"/>
    <s v="Uttar Pradesh"/>
    <s v=" Public Toilte seats (2019)"/>
    <n v="62490"/>
    <x v="5"/>
  </r>
  <r>
    <n v="33"/>
    <s v="Uttar Pradesh"/>
    <s v="Additional Seats (2020–Mar 2021)"/>
    <n v="6802"/>
    <x v="5"/>
  </r>
  <r>
    <n v="33"/>
    <s v="Uttar Pradesh"/>
    <s v="Cumulative Seats till Mar 2021"/>
    <n v="69292"/>
    <x v="5"/>
  </r>
  <r>
    <n v="33"/>
    <s v="Uttar Pradesh"/>
    <s v="Increase from Mar 2021 to Latest Available"/>
    <n v="1078"/>
    <x v="5"/>
  </r>
  <r>
    <n v="33"/>
    <s v="Uttar Pradesh"/>
    <s v="Cumulative Seats till 2023"/>
    <n v="70370"/>
    <x v="5"/>
  </r>
  <r>
    <n v="34"/>
    <s v="Uttarakhand"/>
    <s v=" Public Toilte seats (2019)"/>
    <n v="4547"/>
    <x v="4"/>
  </r>
  <r>
    <n v="34"/>
    <s v="Uttarakhand"/>
    <s v="Additional Seats (2020–Mar 2021)"/>
    <n v="95"/>
    <x v="4"/>
  </r>
  <r>
    <n v="34"/>
    <s v="Uttarakhand"/>
    <s v="Cumulative Seats till Mar 2021"/>
    <n v="4642"/>
    <x v="4"/>
  </r>
  <r>
    <n v="34"/>
    <s v="Uttarakhand"/>
    <s v="Increase from Mar 2021 to Latest Available"/>
    <n v="52"/>
    <x v="4"/>
  </r>
  <r>
    <n v="34"/>
    <s v="Uttarakhand"/>
    <s v="Cumulative Seats till 2023"/>
    <n v="4694"/>
    <x v="4"/>
  </r>
  <r>
    <n v="35"/>
    <s v="West Bengal"/>
    <s v=" Public Toilte seats (2019)"/>
    <n v="299"/>
    <x v="3"/>
  </r>
  <r>
    <n v="35"/>
    <s v="West Bengal"/>
    <s v="Additional Seats (2020–Mar 2021)"/>
    <n v="5447"/>
    <x v="3"/>
  </r>
  <r>
    <n v="35"/>
    <s v="West Bengal"/>
    <s v="Cumulative Seats till Mar 2021"/>
    <n v="5746"/>
    <x v="3"/>
  </r>
  <r>
    <n v="35"/>
    <s v="West Bengal"/>
    <s v="Increase from Mar 2021 to Latest Available"/>
    <n v="0"/>
    <x v="3"/>
  </r>
  <r>
    <n v="35"/>
    <s v="West Bengal"/>
    <s v="Cumulative Seats till 2023"/>
    <n v="5746"/>
    <x v="3"/>
  </r>
  <r>
    <m/>
    <m/>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CF259B-567E-406A-875F-58834F246AF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
    <pivotField allDrilled="1" showAll="0" sortType="ascending" dataSourceSort="1"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2021-Present" fld="2" baseField="1"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lect The year].&amp;[Sum of Increase from Mar 2021 to Latest Available]"/>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2021-Presen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3063C-82E5-4FAA-9058-668563BF4AA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4">
    <pivotField allDrilled="1" showAll="0" sortType="ascending" dataSourceSort="1"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2020-March 2021" fld="1" baseField="2"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lect The year].&amp;[Sum of Increase from Mar 2021 to Latest Available]"/>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2020-March 2021"/>
    <pivotHierarchy dragToData="1"/>
  </pivotHierarchies>
  <pivotTableStyleInfo name="PivotStyleLight16" showRowHeaders="1" showColHeaders="1" showRowStripes="0" showColStripes="0" showLastColumn="1"/>
  <filters count="1">
    <filter fld="2" type="count" id="1" iMeasureHier="2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7B540A-701C-4B90-A5D1-DF005FC8C4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0" firstHeaderRow="1" firstDataRow="1" firstDataCol="1"/>
  <pivotFields count="2">
    <pivotField axis="axisRow" showAll="0" measureFilter="1" sortType="descending">
      <items count="36">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pivotField>
    <pivotField name="TOP 5 " dataField="1" showAll="0" sortType="descending" maxSubtotal="1">
      <items count="36">
        <item x="19"/>
        <item x="29"/>
        <item x="32"/>
        <item x="15"/>
        <item x="8"/>
        <item x="10"/>
        <item x="27"/>
        <item x="6"/>
        <item x="18"/>
        <item x="0"/>
        <item x="4"/>
        <item x="11"/>
        <item x="26"/>
        <item x="24"/>
        <item x="14"/>
        <item x="30"/>
        <item x="33"/>
        <item x="3"/>
        <item x="16"/>
        <item x="5"/>
        <item x="13"/>
        <item x="12"/>
        <item x="31"/>
        <item x="7"/>
        <item x="1"/>
        <item x="9"/>
        <item x="25"/>
        <item x="20"/>
        <item x="34"/>
        <item x="23"/>
        <item x="22"/>
        <item x="28"/>
        <item x="21"/>
        <item x="2"/>
        <item x="17"/>
        <item t="max"/>
      </items>
    </pivotField>
  </pivotFields>
  <rowFields count="1">
    <field x="0"/>
  </rowFields>
  <rowItems count="6">
    <i>
      <x v="2"/>
    </i>
    <i>
      <x v="5"/>
    </i>
    <i>
      <x v="15"/>
    </i>
    <i>
      <x v="19"/>
    </i>
    <i>
      <x v="26"/>
    </i>
    <i t="grand">
      <x/>
    </i>
  </rowItems>
  <colItems count="1">
    <i/>
  </colItems>
  <dataFields count="1">
    <dataField name="Sum of TOP 5 " fld="1"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5B811B-AF57-47A3-90B1-58C1D304F6A8}" name="PivotTable5" cacheId="5" dataOnRows="1" applyNumberFormats="0" applyBorderFormats="0" applyFontFormats="0" applyPatternFormats="0" applyAlignmentFormats="0" applyWidthHeightFormats="1" dataCaption="Values" updatedVersion="8" minRefreshableVersion="3" visualTotals="0" useAutoFormatting="1" subtotalHiddenItems="1" itemPrintTitles="1" createdVersion="8" indent="0" outline="1" outlineData="1" multipleFieldFilters="0" chartFormat="13">
  <location ref="A3:B6"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AttributeDrillState="1"/>
  </pivotFields>
  <rowFields count="1">
    <field x="-2"/>
  </rowFields>
  <rowItems count="3">
    <i>
      <x/>
    </i>
    <i i="1">
      <x v="1"/>
    </i>
    <i i="2">
      <x v="2"/>
    </i>
  </rowItems>
  <colItems count="1">
    <i/>
  </colItems>
  <dataFields count="3">
    <dataField name="Sum of Public Toilte seats (2019)" fld="0" baseField="0" baseItem="0"/>
    <dataField name="Sum of Cumulative Seats till Mar 2021" fld="1" baseField="0" baseItem="0"/>
    <dataField name="Sum of Cumulative Seats till 2023" fld="2" baseField="0" baseItem="0"/>
  </dataFields>
  <chartFormats count="5">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lect The year].&amp;[Sum of Increase from Mar 2021 to Latest Available]"/>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5]"/>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16C524-B4FB-4194-98C3-B216862B12E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rowPageCount="1" colPageCount="1"/>
  <pivotFields count="4">
    <pivotField showAll="0"/>
    <pivotField axis="axisRow" showAll="0">
      <items count="36">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Page" multipleItemSelectionAllowed="1" showAll="0">
      <items count="6">
        <item x="0"/>
        <item x="1"/>
        <item x="4"/>
        <item x="2"/>
        <item x="3"/>
        <item t="default"/>
      </items>
    </pivotField>
    <pivotField dataField="1"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pageFields count="1">
    <pageField fld="2" hier="-1"/>
  </pageFields>
  <dataFields count="1">
    <dataField name="Sum of Public Toilet Sea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8067F-712A-4ACD-8F18-184315609BF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5">
    <pivotField showAll="0"/>
    <pivotField showAll="0"/>
    <pivotField showAll="0"/>
    <pivotField dataField="1" showAll="0"/>
    <pivotField axis="axisRow" showAll="0" sortType="descending">
      <items count="10">
        <item x="5"/>
        <item x="3"/>
        <item x="4"/>
        <item x="2"/>
        <item m="1" x="8"/>
        <item x="0"/>
        <item x="6"/>
        <item x="7"/>
        <item x="1"/>
        <item t="default"/>
      </items>
      <autoSortScope>
        <pivotArea dataOnly="0" outline="0" fieldPosition="0">
          <references count="1">
            <reference field="4294967294" count="1" selected="0">
              <x v="0"/>
            </reference>
          </references>
        </pivotArea>
      </autoSortScope>
    </pivotField>
  </pivotFields>
  <rowFields count="1">
    <field x="4"/>
  </rowFields>
  <rowItems count="9">
    <i>
      <x v="6"/>
    </i>
    <i>
      <x v="5"/>
    </i>
    <i>
      <x/>
    </i>
    <i>
      <x v="2"/>
    </i>
    <i>
      <x v="1"/>
    </i>
    <i>
      <x v="3"/>
    </i>
    <i>
      <x v="8"/>
    </i>
    <i>
      <x v="7"/>
    </i>
    <i t="grand">
      <x/>
    </i>
  </rowItems>
  <colItems count="1">
    <i/>
  </colItems>
  <dataFields count="1">
    <dataField name="Sum of Public Toilet Sea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319AA4-BE99-4F2D-B8D5-D2FA0E658FFE}" autoFormatId="16" applyNumberFormats="0" applyBorderFormats="0" applyFontFormats="0" applyPatternFormats="0" applyAlignmentFormats="0" applyWidthHeightFormats="0">
  <queryTableRefresh nextId="9">
    <queryTableFields count="5">
      <queryTableField id="1" name="S.No." tableColumnId="1"/>
      <queryTableField id="2" name="State/UT" tableColumnId="2"/>
      <queryTableField id="6" name="IHHL Constructed (Units)" tableColumnId="3"/>
      <queryTableField id="4" name="CT/PT Constructed (Seats)" tableColumnId="4"/>
      <queryTableField id="7" name="Funds Released (Rs. in Crores)" tableColumnId="5"/>
    </queryTableFields>
    <queryTableDeletedFields count="2">
      <deletedField name="IHHL Constructed (Units)"/>
      <deletedField name="Funds Released (Rs. in Crore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1937EE3-BFFF-4C13-94FC-AF503EDCE1B0}" autoFormatId="16" applyNumberFormats="0" applyBorderFormats="0" applyFontFormats="0" applyPatternFormats="0" applyAlignmentFormats="0" applyWidthHeightFormats="0">
  <queryTableRefresh nextId="11">
    <queryTableFields count="6">
      <queryTableField id="1" name="S.No" tableColumnId="1"/>
      <queryTableField id="2" name="States/ UTs" tableColumnId="2"/>
      <queryTableField id="7" name="Total No. of IHHLs Constructed till March 2021" tableColumnId="3"/>
      <queryTableField id="8" name="No. of IHHLs Constructed During April 2021 - March 2022" tableColumnId="4"/>
      <queryTableField id="5" name="Total No. of CT/PT Constructed till March 2021" tableColumnId="5"/>
      <queryTableField id="6" name="No. of CT/PT Constructed during April 2021 - March 2022" tableColumnId="6"/>
    </queryTableFields>
    <queryTableDeletedFields count="2">
      <deletedField name="Total No. of IHHLs Constructed till March 2021"/>
      <deletedField name="No. of IHHLs Constructed During April 2021 - March 2022"/>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E1C6FA8-9AF3-4C29-9CE6-E36968BA33AB}" autoFormatId="16" applyNumberFormats="0" applyBorderFormats="0" applyFontFormats="0" applyPatternFormats="0" applyAlignmentFormats="0" applyWidthHeightFormats="0">
  <queryTableRefresh nextId="9" unboundColumnsRight="2">
    <queryTableFields count="6">
      <queryTableField id="1" name="Sl. No." tableColumnId="1"/>
      <queryTableField id="2" name="States/UT" tableColumnId="2"/>
      <queryTableField id="7" name="Individual Household Toilets (in Nos)" tableColumnId="3"/>
      <queryTableField id="4" name="Total Community and Public Toilets (No. of Seats)" tableColumnId="4"/>
      <queryTableField id="5" dataBound="0" tableColumnId="5"/>
      <queryTableField id="6" dataBound="0" tableColumnId="6"/>
    </queryTableFields>
    <queryTableDeletedFields count="1">
      <deletedField name="Individual Household Toilets (in Nos)"/>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89A76A9-9A69-49C3-B193-BFC2AE85FC77}" autoFormatId="16" applyNumberFormats="0" applyBorderFormats="0" applyFontFormats="0" applyPatternFormats="0" applyAlignmentFormats="0" applyWidthHeightFormats="0">
  <queryTableRefresh nextId="6">
    <queryTableFields count="5">
      <queryTableField id="1" name="S.No." tableColumnId="1"/>
      <queryTableField id="2" name="State/UT" tableColumnId="2"/>
      <queryTableField id="3" name="Years" tableColumnId="3"/>
      <queryTableField id="4" name="Public Toilet Seats" tableColumnId="4"/>
      <queryTableField id="5" name="Reg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3218BC95-1A9D-4870-B145-DFF13769D3AD}" sourceName="Years">
  <pivotTables>
    <pivotTable tabId="24" name="PivotTable2"/>
  </pivotTables>
  <data>
    <tabular pivotCacheId="2142907725">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D7B760D1-50EF-4287-8868-C9CC8727B728}" sourceName="State/UT">
  <pivotTables>
    <pivotTable tabId="24" name="PivotTable2"/>
  </pivotTables>
  <data>
    <tabular pivotCacheId="2142907725">
      <items count="35">
        <i x="1" s="1"/>
        <i x="0"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ect_The_year" xr10:uid="{2672BEEA-C3C8-4800-90BA-45AA67E2ECF6}" sourceName="Select The year">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841A07A1-195F-4A02-9596-2D902518806B}" cache="Slicer_Years1" caption="Years" rowHeight="251883"/>
  <slicer name="State/UT" xr10:uid="{D826B437-8C88-489B-88AB-F9DA7C28DAE6}" cache="Slicer_State_UT" caption="State/U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633D77A9-37CD-4F73-81E3-3F7ADF8DC172}" cache="Slicer_Years1" caption="Years" rowHeight="251883"/>
  <slicer name="State/UT 1" xr10:uid="{9E925136-C68E-4927-B9D9-2B0FBA92EE16}" cache="Slicer_State_UT" caption="State/U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The year" xr10:uid="{4BEAD501-9CD4-4D51-9F4D-8AC1709F0F08}" cache="Slicer_Select_The_year" caption="Select The yea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311253-DD03-42CC-9D71-4FAEFCD552AA}" name="Data2019" displayName="Data2019" ref="A1:E37" tableType="queryTable" totalsRowShown="0">
  <autoFilter ref="A1:E37" xr:uid="{19311253-DD03-42CC-9D71-4FAEFCD552AA}"/>
  <tableColumns count="5">
    <tableColumn id="1" xr3:uid="{3824B79F-C8F9-4C1F-8328-4C0647A1EAB1}" uniqueName="1" name="S.No." queryTableFieldId="1" dataDxfId="19"/>
    <tableColumn id="2" xr3:uid="{C546A9CA-97CB-4E12-A9FB-7AA2032C4760}" uniqueName="2" name="State/UT" queryTableFieldId="2" dataDxfId="18"/>
    <tableColumn id="3" xr3:uid="{D71A0FCE-1A9B-4DF0-8605-4DFD4E702BBE}" uniqueName="3" name="IHHL Constructed (Units)" queryTableFieldId="6"/>
    <tableColumn id="4" xr3:uid="{62F62857-D935-4893-9CA8-B04182F8779D}" uniqueName="4" name="CT/PT Constructed (Seats)" queryTableFieldId="4"/>
    <tableColumn id="5" xr3:uid="{0DE99B12-B9B0-4849-8313-0563BB56E6D0}" uniqueName="5" name="Funds Released (Rs. in Crore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8D1F6C-121F-47D9-B705-FF0659AD7752}" name="Data2021" displayName="Data2021" ref="A1:F37" tableType="queryTable" totalsRowShown="0">
  <autoFilter ref="A1:F37" xr:uid="{1B8D1F6C-121F-47D9-B705-FF0659AD7752}"/>
  <tableColumns count="6">
    <tableColumn id="1" xr3:uid="{06648ADB-0468-4EBF-89EE-309775A94880}" uniqueName="1" name="S.No" queryTableFieldId="1" dataDxfId="17"/>
    <tableColumn id="2" xr3:uid="{1E4D30FE-E8F2-4496-9AC6-4A877925FADB}" uniqueName="2" name="States/ UTs" queryTableFieldId="2" dataDxfId="16"/>
    <tableColumn id="3" xr3:uid="{AF9CF286-31F7-43E2-B7AF-EAB7E308522A}" uniqueName="3" name="Total No. of IHHLs Constructed till March 2021" queryTableFieldId="7"/>
    <tableColumn id="4" xr3:uid="{66CD6B17-32BE-4DCB-9187-1A46A4A305F2}" uniqueName="4" name="No. of IHHLs Constructed During April 2021 - March 2022" queryTableFieldId="8"/>
    <tableColumn id="5" xr3:uid="{C6EEF48C-7877-468C-8B1B-35BCCA102FBE}" uniqueName="5" name="Total No. of CT/PT Constructed till March 2021" queryTableFieldId="5"/>
    <tableColumn id="6" xr3:uid="{63CF07CD-EB08-4F94-8F14-7DE987452CE8}" uniqueName="6" name="No. of CT/PT Constructed during April 2021 - March 2022"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082D1A-6500-4396-B5C2-E4529DED4FB4}" name="Data2023" displayName="Data2023" ref="A1:F37" tableType="queryTable" totalsRowShown="0">
  <autoFilter ref="A1:F37" xr:uid="{70082D1A-6500-4396-B5C2-E4529DED4FB4}"/>
  <tableColumns count="6">
    <tableColumn id="1" xr3:uid="{E7AAD30E-1C3A-4D78-AF19-69123954CA66}" uniqueName="1" name="Sl. No." queryTableFieldId="1" dataDxfId="15"/>
    <tableColumn id="2" xr3:uid="{F8DFCB87-7050-4956-AF81-FF0AB5673B2A}" uniqueName="2" name="States/UT" queryTableFieldId="2" dataDxfId="14"/>
    <tableColumn id="3" xr3:uid="{CB724D09-86EB-4C07-81C3-DA86E6683F38}" uniqueName="3" name="Individual Household Toilets (in Nos)" queryTableFieldId="7"/>
    <tableColumn id="4" xr3:uid="{2712D572-C8E8-429C-ABB3-68D9C69D6966}" uniqueName="4" name="Total Community and Public Toilets (No. of Seats)" queryTableFieldId="4"/>
    <tableColumn id="5" xr3:uid="{9A67188E-757D-4A96-A7F3-990725E61A3D}" uniqueName="5" name="2021" queryTableFieldId="5"/>
    <tableColumn id="6" xr3:uid="{69908D62-6356-49A8-8BBA-BC6ABF333A28}" uniqueName="6" name="Total CT/PT From April 2022-2023" queryTableFieldId="6" dataDxfId="13">
      <calculatedColumnFormula>D2-E2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5573DC-2419-418A-8F0A-2CA5B5686D20}" name="Table7_1" displayName="Table7_1" ref="A1:E176" tableType="queryTable" totalsRowShown="0">
  <autoFilter ref="A1:E176" xr:uid="{4F5573DC-2419-418A-8F0A-2CA5B5686D20}"/>
  <tableColumns count="5">
    <tableColumn id="1" xr3:uid="{F85B8C27-CEE9-481C-8DD3-6791B6178A77}" uniqueName="1" name="S.No." queryTableFieldId="1"/>
    <tableColumn id="2" xr3:uid="{094E39ED-A550-44F3-B233-1567D5449BE2}" uniqueName="2" name="State/UT" queryTableFieldId="2" dataDxfId="12"/>
    <tableColumn id="3" xr3:uid="{12BAD5A6-C482-4689-BF6B-1F99FDBE5517}" uniqueName="3" name="Years" queryTableFieldId="3" dataDxfId="11"/>
    <tableColumn id="4" xr3:uid="{9E70AF96-0CF2-4C1F-8892-477FE16DC6B6}" uniqueName="4" name="Public Toilet Seats" queryTableFieldId="4"/>
    <tableColumn id="5" xr3:uid="{6C0468EC-EF91-4A82-A7BE-06718DD9508E}" uniqueName="5" name="Region"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810727-B583-4950-AE04-644828077944}" name="Table7" displayName="Table7" ref="A1:G36" totalsRowShown="0" headerRowDxfId="10" dataDxfId="9" tableBorderDxfId="8">
  <autoFilter ref="A1:G36" xr:uid="{4A810727-B583-4950-AE04-644828077944}"/>
  <tableColumns count="7">
    <tableColumn id="1" xr3:uid="{96DBA0A9-A7B4-462B-8CDB-1823DB72287A}" name="S.No." dataDxfId="7"/>
    <tableColumn id="2" xr3:uid="{8091BC02-947B-4D51-BA26-4C1AFA434DBD}" name="State/UT" dataDxfId="6"/>
    <tableColumn id="3" xr3:uid="{0428D6EB-827C-46F8-A597-3EB5DBFCA0C9}" name=" Public Toilte seats (2019)" dataDxfId="5"/>
    <tableColumn id="4" xr3:uid="{550BC1FA-AD7D-4CB3-AFFB-2F072A5A9268}" name="Additional Seats (2020–Mar 2021)" dataDxfId="4">
      <calculatedColumnFormula>E2-C2</calculatedColumnFormula>
    </tableColumn>
    <tableColumn id="5" xr3:uid="{42B6FA6F-ED41-42A5-8F5D-2B81865E3C30}" name="Cumulative Seats till Mar 2021" dataDxfId="3"/>
    <tableColumn id="6" xr3:uid="{C79F8CBE-4256-4BE3-90C1-DB829EF6BC94}" name="Increase from Mar 2021 to Latest Available" dataDxfId="2">
      <calculatedColumnFormula>G2-E2</calculatedColumnFormula>
    </tableColumn>
    <tableColumn id="7" xr3:uid="{628FD1AE-976F-4075-A42C-014C841EAB74}" name="Cumulative Seats till 2023"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D391E7-6B0C-49D3-9BC0-52C5289F4EF9}" name="Table5" displayName="Table5" ref="A1:A6" totalsRowShown="0" headerRowDxfId="0">
  <autoFilter ref="A1:A6" xr:uid="{CAD391E7-6B0C-49D3-9BC0-52C5289F4EF9}"/>
  <tableColumns count="1">
    <tableColumn id="1" xr3:uid="{335D8F70-FBAD-43E3-B13B-15FE8AB7E035}" name="Select The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6.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C8086-D871-43E5-AA3B-AEBE46C739D4}">
  <dimension ref="A1:E37"/>
  <sheetViews>
    <sheetView topLeftCell="A21" workbookViewId="0">
      <selection activeCell="B35" sqref="B35"/>
    </sheetView>
  </sheetViews>
  <sheetFormatPr defaultRowHeight="14.5" x14ac:dyDescent="0.35"/>
  <cols>
    <col min="1" max="1" width="7.54296875" bestFit="1" customWidth="1"/>
    <col min="2" max="2" width="18.7265625" bestFit="1" customWidth="1"/>
    <col min="3" max="3" width="24.1796875" bestFit="1" customWidth="1"/>
    <col min="4" max="4" width="25.26953125" customWidth="1"/>
    <col min="5" max="5" width="28.81640625" bestFit="1" customWidth="1"/>
  </cols>
  <sheetData>
    <row r="1" spans="1:5" x14ac:dyDescent="0.35">
      <c r="A1" t="s">
        <v>0</v>
      </c>
      <c r="B1" t="s">
        <v>1</v>
      </c>
      <c r="C1" t="s">
        <v>124</v>
      </c>
      <c r="D1" t="s">
        <v>2</v>
      </c>
      <c r="E1" t="s">
        <v>125</v>
      </c>
    </row>
    <row r="2" spans="1:5" x14ac:dyDescent="0.35">
      <c r="A2" t="s">
        <v>3</v>
      </c>
      <c r="B2" t="s">
        <v>4</v>
      </c>
      <c r="C2">
        <v>243736</v>
      </c>
      <c r="D2">
        <v>17757</v>
      </c>
      <c r="E2">
        <v>1</v>
      </c>
    </row>
    <row r="3" spans="1:5" x14ac:dyDescent="0.35">
      <c r="A3" t="s">
        <v>5</v>
      </c>
      <c r="B3" t="s">
        <v>6</v>
      </c>
      <c r="C3">
        <v>336</v>
      </c>
      <c r="D3">
        <v>603</v>
      </c>
      <c r="E3">
        <v>165.19</v>
      </c>
    </row>
    <row r="4" spans="1:5" x14ac:dyDescent="0.35">
      <c r="A4" t="s">
        <v>7</v>
      </c>
      <c r="B4" t="s">
        <v>8</v>
      </c>
      <c r="C4">
        <v>8732</v>
      </c>
      <c r="D4">
        <v>46</v>
      </c>
      <c r="E4">
        <v>8</v>
      </c>
    </row>
    <row r="5" spans="1:5" x14ac:dyDescent="0.35">
      <c r="A5" t="s">
        <v>9</v>
      </c>
      <c r="B5" t="s">
        <v>10</v>
      </c>
      <c r="C5">
        <v>72763</v>
      </c>
      <c r="D5">
        <v>3286</v>
      </c>
      <c r="E5">
        <v>84.26</v>
      </c>
    </row>
    <row r="6" spans="1:5" x14ac:dyDescent="0.35">
      <c r="A6" t="s">
        <v>11</v>
      </c>
      <c r="B6" t="s">
        <v>12</v>
      </c>
      <c r="C6">
        <v>393613</v>
      </c>
      <c r="D6">
        <v>16124</v>
      </c>
      <c r="E6">
        <v>185.24</v>
      </c>
    </row>
    <row r="7" spans="1:5" x14ac:dyDescent="0.35">
      <c r="A7" t="s">
        <v>13</v>
      </c>
      <c r="B7" t="s">
        <v>14</v>
      </c>
      <c r="C7">
        <v>6117</v>
      </c>
      <c r="D7">
        <v>2512</v>
      </c>
      <c r="E7">
        <v>1.85</v>
      </c>
    </row>
    <row r="8" spans="1:5" x14ac:dyDescent="0.35">
      <c r="A8" t="s">
        <v>15</v>
      </c>
      <c r="B8" t="s">
        <v>16</v>
      </c>
      <c r="C8">
        <v>325050</v>
      </c>
      <c r="D8">
        <v>18832</v>
      </c>
      <c r="E8">
        <v>179.76</v>
      </c>
    </row>
    <row r="9" spans="1:5" x14ac:dyDescent="0.35">
      <c r="A9" t="s">
        <v>17</v>
      </c>
      <c r="B9" t="s">
        <v>126</v>
      </c>
      <c r="C9">
        <v>1197</v>
      </c>
      <c r="D9">
        <v>511</v>
      </c>
      <c r="E9">
        <v>0.69</v>
      </c>
    </row>
    <row r="10" spans="1:5" x14ac:dyDescent="0.35">
      <c r="A10" t="s">
        <v>18</v>
      </c>
      <c r="B10" t="s">
        <v>127</v>
      </c>
      <c r="C10">
        <v>1181</v>
      </c>
      <c r="D10">
        <v>104</v>
      </c>
      <c r="E10">
        <v>0.35</v>
      </c>
    </row>
    <row r="11" spans="1:5" x14ac:dyDescent="0.35">
      <c r="A11" t="s">
        <v>19</v>
      </c>
      <c r="B11" t="s">
        <v>20</v>
      </c>
      <c r="C11">
        <v>725</v>
      </c>
      <c r="D11">
        <v>24186</v>
      </c>
      <c r="E11">
        <v>30.23</v>
      </c>
    </row>
    <row r="12" spans="1:5" x14ac:dyDescent="0.35">
      <c r="A12" t="s">
        <v>21</v>
      </c>
      <c r="B12" t="s">
        <v>22</v>
      </c>
      <c r="C12">
        <v>3436</v>
      </c>
      <c r="D12">
        <v>577</v>
      </c>
      <c r="E12">
        <v>2.74</v>
      </c>
    </row>
    <row r="13" spans="1:5" x14ac:dyDescent="0.35">
      <c r="A13" t="s">
        <v>23</v>
      </c>
      <c r="B13" t="s">
        <v>24</v>
      </c>
      <c r="C13">
        <v>560046</v>
      </c>
      <c r="D13">
        <v>24149</v>
      </c>
      <c r="E13">
        <v>185.54</v>
      </c>
    </row>
    <row r="14" spans="1:5" x14ac:dyDescent="0.35">
      <c r="A14" t="s">
        <v>25</v>
      </c>
      <c r="B14" t="s">
        <v>26</v>
      </c>
      <c r="C14">
        <v>64719</v>
      </c>
      <c r="D14">
        <v>10819</v>
      </c>
      <c r="E14">
        <v>57.06</v>
      </c>
    </row>
    <row r="15" spans="1:5" x14ac:dyDescent="0.35">
      <c r="A15" t="s">
        <v>27</v>
      </c>
      <c r="B15" t="s">
        <v>28</v>
      </c>
      <c r="C15">
        <v>5635</v>
      </c>
      <c r="D15">
        <v>1445</v>
      </c>
      <c r="E15">
        <v>10.39</v>
      </c>
    </row>
    <row r="16" spans="1:5" x14ac:dyDescent="0.35">
      <c r="A16" t="s">
        <v>29</v>
      </c>
      <c r="B16" t="s">
        <v>30</v>
      </c>
      <c r="C16">
        <v>45143</v>
      </c>
      <c r="D16">
        <v>2384</v>
      </c>
      <c r="E16">
        <v>75.87</v>
      </c>
    </row>
    <row r="17" spans="1:5" x14ac:dyDescent="0.35">
      <c r="A17" t="s">
        <v>31</v>
      </c>
      <c r="B17" t="s">
        <v>32</v>
      </c>
      <c r="C17">
        <v>217763</v>
      </c>
      <c r="D17">
        <v>7551</v>
      </c>
      <c r="E17">
        <v>75.47</v>
      </c>
    </row>
    <row r="18" spans="1:5" x14ac:dyDescent="0.35">
      <c r="A18" t="s">
        <v>33</v>
      </c>
      <c r="B18" t="s">
        <v>34</v>
      </c>
      <c r="C18">
        <v>329163</v>
      </c>
      <c r="D18">
        <v>34387</v>
      </c>
      <c r="E18">
        <v>198.83</v>
      </c>
    </row>
    <row r="19" spans="1:5" x14ac:dyDescent="0.35">
      <c r="A19" t="s">
        <v>35</v>
      </c>
      <c r="B19" t="s">
        <v>36</v>
      </c>
      <c r="C19">
        <v>37207</v>
      </c>
      <c r="D19">
        <v>2801</v>
      </c>
      <c r="E19">
        <v>31.67</v>
      </c>
    </row>
    <row r="20" spans="1:5" x14ac:dyDescent="0.35">
      <c r="A20" t="s">
        <v>37</v>
      </c>
      <c r="B20" t="s">
        <v>38</v>
      </c>
      <c r="C20">
        <v>558615</v>
      </c>
      <c r="D20">
        <v>18251</v>
      </c>
      <c r="E20">
        <v>354.97</v>
      </c>
    </row>
    <row r="21" spans="1:5" x14ac:dyDescent="0.35">
      <c r="A21" t="s">
        <v>39</v>
      </c>
      <c r="B21" t="s">
        <v>40</v>
      </c>
      <c r="C21">
        <v>700446</v>
      </c>
      <c r="D21">
        <v>166465</v>
      </c>
      <c r="E21">
        <v>396.18</v>
      </c>
    </row>
    <row r="22" spans="1:5" x14ac:dyDescent="0.35">
      <c r="A22" t="s">
        <v>41</v>
      </c>
      <c r="B22" t="s">
        <v>42</v>
      </c>
      <c r="C22">
        <v>34374</v>
      </c>
      <c r="D22">
        <v>443</v>
      </c>
      <c r="E22">
        <v>28.06</v>
      </c>
    </row>
    <row r="23" spans="1:5" x14ac:dyDescent="0.35">
      <c r="A23" t="s">
        <v>43</v>
      </c>
      <c r="B23" t="s">
        <v>44</v>
      </c>
      <c r="C23">
        <v>1080</v>
      </c>
      <c r="D23">
        <v>152</v>
      </c>
      <c r="E23">
        <v>5.05</v>
      </c>
    </row>
    <row r="24" spans="1:5" x14ac:dyDescent="0.35">
      <c r="A24" t="s">
        <v>45</v>
      </c>
      <c r="B24" t="s">
        <v>46</v>
      </c>
      <c r="C24">
        <v>2972</v>
      </c>
      <c r="D24">
        <v>188</v>
      </c>
      <c r="E24">
        <v>9.73</v>
      </c>
    </row>
    <row r="25" spans="1:5" x14ac:dyDescent="0.35">
      <c r="A25" t="s">
        <v>47</v>
      </c>
      <c r="B25" t="s">
        <v>48</v>
      </c>
      <c r="C25">
        <v>16015</v>
      </c>
      <c r="D25">
        <v>235</v>
      </c>
      <c r="E25">
        <v>22.19</v>
      </c>
    </row>
    <row r="26" spans="1:5" x14ac:dyDescent="0.35">
      <c r="A26" t="s">
        <v>49</v>
      </c>
      <c r="B26" t="s">
        <v>50</v>
      </c>
      <c r="C26">
        <v>130886</v>
      </c>
      <c r="D26">
        <v>9072</v>
      </c>
      <c r="E26">
        <v>103.56</v>
      </c>
    </row>
    <row r="27" spans="1:5" x14ac:dyDescent="0.35">
      <c r="A27" t="s">
        <v>51</v>
      </c>
      <c r="B27" t="s">
        <v>52</v>
      </c>
      <c r="C27">
        <v>4919</v>
      </c>
      <c r="D27">
        <v>466</v>
      </c>
      <c r="E27">
        <v>5.66</v>
      </c>
    </row>
    <row r="28" spans="1:5" x14ac:dyDescent="0.35">
      <c r="A28" t="s">
        <v>53</v>
      </c>
      <c r="B28" t="s">
        <v>54</v>
      </c>
      <c r="C28">
        <v>103015</v>
      </c>
      <c r="D28">
        <v>10775</v>
      </c>
      <c r="E28">
        <v>72.91</v>
      </c>
    </row>
    <row r="29" spans="1:5" x14ac:dyDescent="0.35">
      <c r="A29" t="s">
        <v>55</v>
      </c>
      <c r="B29" t="s">
        <v>56</v>
      </c>
      <c r="C29">
        <v>364237</v>
      </c>
      <c r="D29">
        <v>23147</v>
      </c>
      <c r="E29">
        <v>207.43</v>
      </c>
    </row>
    <row r="30" spans="1:5" x14ac:dyDescent="0.35">
      <c r="A30" t="s">
        <v>57</v>
      </c>
      <c r="B30" t="s">
        <v>58</v>
      </c>
      <c r="C30">
        <v>1066</v>
      </c>
      <c r="D30">
        <v>163</v>
      </c>
      <c r="E30">
        <v>1.34</v>
      </c>
    </row>
    <row r="31" spans="1:5" x14ac:dyDescent="0.35">
      <c r="A31" t="s">
        <v>59</v>
      </c>
      <c r="B31" t="s">
        <v>60</v>
      </c>
      <c r="C31">
        <v>504154</v>
      </c>
      <c r="D31">
        <v>89648</v>
      </c>
      <c r="E31">
        <v>281.22000000000003</v>
      </c>
    </row>
    <row r="32" spans="1:5" x14ac:dyDescent="0.35">
      <c r="A32" t="s">
        <v>61</v>
      </c>
      <c r="B32" t="s">
        <v>62</v>
      </c>
      <c r="C32">
        <v>149723</v>
      </c>
      <c r="D32">
        <v>6000</v>
      </c>
      <c r="E32">
        <v>68.25</v>
      </c>
    </row>
    <row r="33" spans="1:5" x14ac:dyDescent="0.35">
      <c r="A33" t="s">
        <v>63</v>
      </c>
      <c r="B33" t="s">
        <v>64</v>
      </c>
      <c r="C33">
        <v>19623</v>
      </c>
      <c r="D33">
        <v>883</v>
      </c>
      <c r="E33">
        <v>9.58</v>
      </c>
    </row>
    <row r="34" spans="1:5" x14ac:dyDescent="0.35">
      <c r="A34" t="s">
        <v>65</v>
      </c>
      <c r="B34" t="s">
        <v>66</v>
      </c>
      <c r="C34">
        <v>887906</v>
      </c>
      <c r="D34">
        <v>62490</v>
      </c>
      <c r="E34">
        <v>540.59</v>
      </c>
    </row>
    <row r="35" spans="1:5" x14ac:dyDescent="0.35">
      <c r="A35" t="s">
        <v>67</v>
      </c>
      <c r="B35" t="s">
        <v>68</v>
      </c>
      <c r="C35">
        <v>18000</v>
      </c>
      <c r="D35">
        <v>4547</v>
      </c>
      <c r="E35">
        <v>36.64</v>
      </c>
    </row>
    <row r="36" spans="1:5" x14ac:dyDescent="0.35">
      <c r="A36" t="s">
        <v>69</v>
      </c>
      <c r="B36" t="s">
        <v>70</v>
      </c>
      <c r="C36">
        <v>282542</v>
      </c>
      <c r="D36">
        <v>299</v>
      </c>
      <c r="E36">
        <v>175.41</v>
      </c>
    </row>
    <row r="37" spans="1:5" x14ac:dyDescent="0.35">
      <c r="A37" t="s">
        <v>71</v>
      </c>
      <c r="B37" t="s">
        <v>71</v>
      </c>
      <c r="C37">
        <v>6096135</v>
      </c>
      <c r="D37">
        <v>561298</v>
      </c>
      <c r="E37">
        <v>3612.89</v>
      </c>
    </row>
  </sheetData>
  <phoneticPr fontId="4"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C76D-4A93-47DF-A253-9695D22CF1A8}">
  <dimension ref="A1:E37"/>
  <sheetViews>
    <sheetView zoomScale="87" workbookViewId="0">
      <selection activeCell="E2" sqref="E2"/>
    </sheetView>
  </sheetViews>
  <sheetFormatPr defaultRowHeight="14.5" x14ac:dyDescent="0.35"/>
  <cols>
    <col min="2" max="2" width="36.1796875" bestFit="1" customWidth="1"/>
    <col min="3" max="3" width="39.26953125" bestFit="1" customWidth="1"/>
    <col min="4" max="4" width="36.81640625" bestFit="1" customWidth="1"/>
    <col min="5" max="5" width="49.54296875" bestFit="1" customWidth="1"/>
  </cols>
  <sheetData>
    <row r="1" spans="1:5" x14ac:dyDescent="0.35">
      <c r="A1" s="1" t="s">
        <v>72</v>
      </c>
      <c r="B1" s="2" t="s">
        <v>73</v>
      </c>
      <c r="C1" s="2" t="s">
        <v>74</v>
      </c>
      <c r="D1" s="12" t="s">
        <v>81</v>
      </c>
      <c r="E1" s="12" t="s">
        <v>83</v>
      </c>
    </row>
    <row r="2" spans="1:5" x14ac:dyDescent="0.35">
      <c r="A2" s="10" t="s">
        <v>3</v>
      </c>
      <c r="B2" s="3" t="s">
        <v>4</v>
      </c>
      <c r="C2" s="3">
        <v>17797</v>
      </c>
      <c r="D2" s="4">
        <v>17757</v>
      </c>
      <c r="E2" s="4">
        <f>IF(C2&gt;D2,C2-D2,D2-C2)</f>
        <v>40</v>
      </c>
    </row>
    <row r="3" spans="1:5" x14ac:dyDescent="0.35">
      <c r="A3" s="11" t="s">
        <v>5</v>
      </c>
      <c r="B3" s="5" t="s">
        <v>76</v>
      </c>
      <c r="C3" s="5">
        <v>603</v>
      </c>
      <c r="D3" s="6">
        <v>603</v>
      </c>
      <c r="E3" s="6">
        <f t="shared" ref="E3:E37" si="0">IF(C3&gt;D3,C3-D3,D3-C3)</f>
        <v>0</v>
      </c>
    </row>
    <row r="4" spans="1:5" x14ac:dyDescent="0.35">
      <c r="A4" s="10" t="s">
        <v>7</v>
      </c>
      <c r="B4" s="3" t="s">
        <v>8</v>
      </c>
      <c r="C4" s="3">
        <v>46</v>
      </c>
      <c r="D4" s="4">
        <v>46</v>
      </c>
      <c r="E4" s="4">
        <f t="shared" si="0"/>
        <v>0</v>
      </c>
    </row>
    <row r="5" spans="1:5" x14ac:dyDescent="0.35">
      <c r="A5" s="11" t="s">
        <v>9</v>
      </c>
      <c r="B5" s="5" t="s">
        <v>10</v>
      </c>
      <c r="C5" s="5">
        <v>3350</v>
      </c>
      <c r="D5" s="6">
        <v>3286</v>
      </c>
      <c r="E5" s="6">
        <f t="shared" si="0"/>
        <v>64</v>
      </c>
    </row>
    <row r="6" spans="1:5" x14ac:dyDescent="0.35">
      <c r="A6" s="10" t="s">
        <v>11</v>
      </c>
      <c r="B6" s="3" t="s">
        <v>12</v>
      </c>
      <c r="C6" s="3">
        <v>20878</v>
      </c>
      <c r="D6" s="4">
        <v>16124</v>
      </c>
      <c r="E6" s="4">
        <f t="shared" si="0"/>
        <v>4754</v>
      </c>
    </row>
    <row r="7" spans="1:5" x14ac:dyDescent="0.35">
      <c r="A7" s="11" t="s">
        <v>13</v>
      </c>
      <c r="B7" s="5" t="s">
        <v>14</v>
      </c>
      <c r="C7" s="5">
        <v>2512</v>
      </c>
      <c r="D7" s="6">
        <v>2512</v>
      </c>
      <c r="E7" s="6">
        <f t="shared" si="0"/>
        <v>0</v>
      </c>
    </row>
    <row r="8" spans="1:5" x14ac:dyDescent="0.35">
      <c r="A8" s="10" t="s">
        <v>15</v>
      </c>
      <c r="B8" s="3" t="s">
        <v>16</v>
      </c>
      <c r="C8" s="3">
        <v>18832</v>
      </c>
      <c r="D8" s="4">
        <v>18832</v>
      </c>
      <c r="E8" s="4">
        <f t="shared" si="0"/>
        <v>0</v>
      </c>
    </row>
    <row r="9" spans="1:5" x14ac:dyDescent="0.35">
      <c r="A9" s="11" t="s">
        <v>17</v>
      </c>
      <c r="B9" s="5" t="s">
        <v>77</v>
      </c>
      <c r="C9" s="5">
        <v>615</v>
      </c>
      <c r="D9" s="6">
        <v>615</v>
      </c>
      <c r="E9" s="6">
        <f t="shared" si="0"/>
        <v>0</v>
      </c>
    </row>
    <row r="10" spans="1:5" x14ac:dyDescent="0.35">
      <c r="A10" s="10" t="s">
        <v>18</v>
      </c>
      <c r="B10" s="3" t="s">
        <v>20</v>
      </c>
      <c r="C10" s="3">
        <v>28256</v>
      </c>
      <c r="D10" s="4">
        <v>24186</v>
      </c>
      <c r="E10" s="4">
        <f t="shared" si="0"/>
        <v>4070</v>
      </c>
    </row>
    <row r="11" spans="1:5" x14ac:dyDescent="0.35">
      <c r="A11" s="11" t="s">
        <v>19</v>
      </c>
      <c r="B11" s="5" t="s">
        <v>22</v>
      </c>
      <c r="C11" s="5">
        <v>847</v>
      </c>
      <c r="D11" s="6">
        <v>577</v>
      </c>
      <c r="E11" s="6">
        <f t="shared" si="0"/>
        <v>270</v>
      </c>
    </row>
    <row r="12" spans="1:5" x14ac:dyDescent="0.35">
      <c r="A12" s="10" t="s">
        <v>21</v>
      </c>
      <c r="B12" s="3" t="s">
        <v>24</v>
      </c>
      <c r="C12" s="3">
        <v>24149</v>
      </c>
      <c r="D12" s="4">
        <v>24149</v>
      </c>
      <c r="E12" s="4">
        <f t="shared" si="0"/>
        <v>0</v>
      </c>
    </row>
    <row r="13" spans="1:5" x14ac:dyDescent="0.35">
      <c r="A13" s="11" t="s">
        <v>23</v>
      </c>
      <c r="B13" s="5" t="s">
        <v>26</v>
      </c>
      <c r="C13" s="5">
        <v>11374</v>
      </c>
      <c r="D13" s="6">
        <v>10819</v>
      </c>
      <c r="E13" s="6">
        <f t="shared" si="0"/>
        <v>555</v>
      </c>
    </row>
    <row r="14" spans="1:5" x14ac:dyDescent="0.35">
      <c r="A14" s="10" t="s">
        <v>25</v>
      </c>
      <c r="B14" s="3" t="s">
        <v>28</v>
      </c>
      <c r="C14" s="3">
        <v>1567</v>
      </c>
      <c r="D14" s="4">
        <v>1445</v>
      </c>
      <c r="E14" s="4">
        <f t="shared" si="0"/>
        <v>122</v>
      </c>
    </row>
    <row r="15" spans="1:5" x14ac:dyDescent="0.35">
      <c r="A15" s="11" t="s">
        <v>27</v>
      </c>
      <c r="B15" s="5" t="s">
        <v>30</v>
      </c>
      <c r="C15" s="5">
        <v>3329</v>
      </c>
      <c r="D15" s="6">
        <v>2384</v>
      </c>
      <c r="E15" s="6">
        <f t="shared" si="0"/>
        <v>945</v>
      </c>
    </row>
    <row r="16" spans="1:5" x14ac:dyDescent="0.35">
      <c r="A16" s="10" t="s">
        <v>29</v>
      </c>
      <c r="B16" s="3" t="s">
        <v>32</v>
      </c>
      <c r="C16" s="3">
        <v>8732</v>
      </c>
      <c r="D16" s="4">
        <v>7551</v>
      </c>
      <c r="E16" s="4">
        <f t="shared" si="0"/>
        <v>1181</v>
      </c>
    </row>
    <row r="17" spans="1:5" x14ac:dyDescent="0.35">
      <c r="A17" s="11" t="s">
        <v>31</v>
      </c>
      <c r="B17" s="5" t="s">
        <v>34</v>
      </c>
      <c r="C17" s="5">
        <v>36556</v>
      </c>
      <c r="D17" s="6">
        <v>34387</v>
      </c>
      <c r="E17" s="6">
        <f t="shared" si="0"/>
        <v>2169</v>
      </c>
    </row>
    <row r="18" spans="1:5" x14ac:dyDescent="0.35">
      <c r="A18" s="10" t="s">
        <v>33</v>
      </c>
      <c r="B18" s="3" t="s">
        <v>36</v>
      </c>
      <c r="C18" s="3">
        <v>2803</v>
      </c>
      <c r="D18" s="4">
        <v>2801</v>
      </c>
      <c r="E18" s="4">
        <f t="shared" si="0"/>
        <v>2</v>
      </c>
    </row>
    <row r="19" spans="1:5" x14ac:dyDescent="0.35">
      <c r="A19" s="11" t="s">
        <v>35</v>
      </c>
      <c r="B19" s="5" t="s">
        <v>78</v>
      </c>
      <c r="C19" s="5">
        <v>194</v>
      </c>
      <c r="D19" s="6">
        <v>0</v>
      </c>
      <c r="E19" s="6">
        <f t="shared" si="0"/>
        <v>194</v>
      </c>
    </row>
    <row r="20" spans="1:5" x14ac:dyDescent="0.35">
      <c r="A20" s="10" t="s">
        <v>37</v>
      </c>
      <c r="B20" s="3" t="s">
        <v>38</v>
      </c>
      <c r="C20" s="3">
        <v>19732</v>
      </c>
      <c r="D20" s="4">
        <v>18251</v>
      </c>
      <c r="E20" s="4">
        <f t="shared" si="0"/>
        <v>1481</v>
      </c>
    </row>
    <row r="21" spans="1:5" x14ac:dyDescent="0.35">
      <c r="A21" s="11" t="s">
        <v>39</v>
      </c>
      <c r="B21" s="5" t="s">
        <v>40</v>
      </c>
      <c r="C21" s="5">
        <v>166465</v>
      </c>
      <c r="D21" s="6">
        <v>166465</v>
      </c>
      <c r="E21" s="6">
        <f t="shared" si="0"/>
        <v>0</v>
      </c>
    </row>
    <row r="22" spans="1:5" x14ac:dyDescent="0.35">
      <c r="A22" s="10" t="s">
        <v>41</v>
      </c>
      <c r="B22" s="3" t="s">
        <v>42</v>
      </c>
      <c r="C22" s="3">
        <v>512</v>
      </c>
      <c r="D22" s="4">
        <v>443</v>
      </c>
      <c r="E22" s="4">
        <f t="shared" si="0"/>
        <v>69</v>
      </c>
    </row>
    <row r="23" spans="1:5" x14ac:dyDescent="0.35">
      <c r="A23" s="11" t="s">
        <v>43</v>
      </c>
      <c r="B23" s="5" t="s">
        <v>44</v>
      </c>
      <c r="C23" s="5">
        <v>152</v>
      </c>
      <c r="D23" s="6">
        <v>152</v>
      </c>
      <c r="E23" s="6">
        <f t="shared" si="0"/>
        <v>0</v>
      </c>
    </row>
    <row r="24" spans="1:5" x14ac:dyDescent="0.35">
      <c r="A24" s="10" t="s">
        <v>45</v>
      </c>
      <c r="B24" s="3" t="s">
        <v>46</v>
      </c>
      <c r="C24" s="3">
        <v>581</v>
      </c>
      <c r="D24" s="4">
        <v>188</v>
      </c>
      <c r="E24" s="4">
        <f t="shared" si="0"/>
        <v>393</v>
      </c>
    </row>
    <row r="25" spans="1:5" x14ac:dyDescent="0.35">
      <c r="A25" s="11" t="s">
        <v>47</v>
      </c>
      <c r="B25" s="5" t="s">
        <v>48</v>
      </c>
      <c r="C25" s="5">
        <v>235</v>
      </c>
      <c r="D25" s="6">
        <v>235</v>
      </c>
      <c r="E25" s="6">
        <f t="shared" si="0"/>
        <v>0</v>
      </c>
    </row>
    <row r="26" spans="1:5" x14ac:dyDescent="0.35">
      <c r="A26" s="10" t="s">
        <v>49</v>
      </c>
      <c r="B26" s="3" t="s">
        <v>50</v>
      </c>
      <c r="C26" s="3">
        <v>11999</v>
      </c>
      <c r="D26" s="4">
        <v>9072</v>
      </c>
      <c r="E26" s="4">
        <f t="shared" si="0"/>
        <v>2927</v>
      </c>
    </row>
    <row r="27" spans="1:5" x14ac:dyDescent="0.35">
      <c r="A27" s="11" t="s">
        <v>51</v>
      </c>
      <c r="B27" s="5" t="s">
        <v>52</v>
      </c>
      <c r="C27" s="5">
        <v>836</v>
      </c>
      <c r="D27" s="6">
        <v>466</v>
      </c>
      <c r="E27" s="6">
        <f t="shared" si="0"/>
        <v>370</v>
      </c>
    </row>
    <row r="28" spans="1:5" x14ac:dyDescent="0.35">
      <c r="A28" s="10" t="s">
        <v>53</v>
      </c>
      <c r="B28" s="3" t="s">
        <v>54</v>
      </c>
      <c r="C28" s="3">
        <v>11388</v>
      </c>
      <c r="D28" s="4">
        <v>10775</v>
      </c>
      <c r="E28" s="4">
        <f t="shared" si="0"/>
        <v>613</v>
      </c>
    </row>
    <row r="29" spans="1:5" x14ac:dyDescent="0.35">
      <c r="A29" s="11" t="s">
        <v>55</v>
      </c>
      <c r="B29" s="5" t="s">
        <v>56</v>
      </c>
      <c r="C29" s="5">
        <v>31300</v>
      </c>
      <c r="D29" s="6">
        <v>23147</v>
      </c>
      <c r="E29" s="6">
        <f t="shared" si="0"/>
        <v>8153</v>
      </c>
    </row>
    <row r="30" spans="1:5" x14ac:dyDescent="0.35">
      <c r="A30" s="10" t="s">
        <v>57</v>
      </c>
      <c r="B30" s="3" t="s">
        <v>58</v>
      </c>
      <c r="C30" s="3">
        <v>163</v>
      </c>
      <c r="D30" s="4">
        <v>163</v>
      </c>
      <c r="E30" s="4">
        <f t="shared" si="0"/>
        <v>0</v>
      </c>
    </row>
    <row r="31" spans="1:5" x14ac:dyDescent="0.35">
      <c r="A31" s="11" t="s">
        <v>59</v>
      </c>
      <c r="B31" s="5" t="s">
        <v>60</v>
      </c>
      <c r="C31" s="5">
        <v>92744</v>
      </c>
      <c r="D31" s="6">
        <v>89648</v>
      </c>
      <c r="E31" s="6">
        <f t="shared" si="0"/>
        <v>3096</v>
      </c>
    </row>
    <row r="32" spans="1:5" x14ac:dyDescent="0.35">
      <c r="A32" s="10" t="s">
        <v>61</v>
      </c>
      <c r="B32" s="3" t="s">
        <v>62</v>
      </c>
      <c r="C32" s="3">
        <v>10209</v>
      </c>
      <c r="D32" s="4">
        <v>6000</v>
      </c>
      <c r="E32" s="4">
        <f t="shared" si="0"/>
        <v>4209</v>
      </c>
    </row>
    <row r="33" spans="1:5" x14ac:dyDescent="0.35">
      <c r="A33" s="11" t="s">
        <v>63</v>
      </c>
      <c r="B33" s="5" t="s">
        <v>64</v>
      </c>
      <c r="C33" s="5">
        <v>1073</v>
      </c>
      <c r="D33" s="6">
        <v>883</v>
      </c>
      <c r="E33" s="6">
        <f t="shared" si="0"/>
        <v>190</v>
      </c>
    </row>
    <row r="34" spans="1:5" x14ac:dyDescent="0.35">
      <c r="A34" s="10" t="s">
        <v>65</v>
      </c>
      <c r="B34" s="3" t="s">
        <v>66</v>
      </c>
      <c r="C34" s="3">
        <v>69292</v>
      </c>
      <c r="D34" s="4">
        <v>62490</v>
      </c>
      <c r="E34" s="4">
        <f t="shared" si="0"/>
        <v>6802</v>
      </c>
    </row>
    <row r="35" spans="1:5" x14ac:dyDescent="0.35">
      <c r="A35" s="11" t="s">
        <v>67</v>
      </c>
      <c r="B35" s="5" t="s">
        <v>68</v>
      </c>
      <c r="C35" s="5">
        <v>4642</v>
      </c>
      <c r="D35" s="6">
        <v>4547</v>
      </c>
      <c r="E35" s="6">
        <f t="shared" si="0"/>
        <v>95</v>
      </c>
    </row>
    <row r="36" spans="1:5" x14ac:dyDescent="0.35">
      <c r="A36" s="10" t="s">
        <v>69</v>
      </c>
      <c r="B36" s="3" t="s">
        <v>70</v>
      </c>
      <c r="C36" s="3">
        <v>5746</v>
      </c>
      <c r="D36" s="4">
        <v>299</v>
      </c>
      <c r="E36" s="4">
        <f t="shared" si="0"/>
        <v>5447</v>
      </c>
    </row>
    <row r="37" spans="1:5" x14ac:dyDescent="0.35">
      <c r="A37" s="11" t="s">
        <v>71</v>
      </c>
      <c r="B37" s="5" t="s">
        <v>71</v>
      </c>
      <c r="C37" s="5">
        <v>609509</v>
      </c>
      <c r="D37" s="6">
        <v>561298</v>
      </c>
      <c r="E37" s="6">
        <f t="shared" si="0"/>
        <v>48211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DDE8-D3E8-48D0-93E3-79D69EF7486B}">
  <dimension ref="A1:F37"/>
  <sheetViews>
    <sheetView zoomScale="76" workbookViewId="0">
      <selection activeCell="B19" sqref="B19"/>
    </sheetView>
  </sheetViews>
  <sheetFormatPr defaultRowHeight="14.5" x14ac:dyDescent="0.35"/>
  <cols>
    <col min="1" max="1" width="8.08984375" bestFit="1" customWidth="1"/>
    <col min="2" max="2" width="37.08984375" bestFit="1" customWidth="1"/>
    <col min="3" max="3" width="43.6328125" bestFit="1" customWidth="1"/>
    <col min="4" max="4" width="52.6328125" bestFit="1" customWidth="1"/>
    <col min="5" max="5" width="43.36328125" bestFit="1" customWidth="1"/>
    <col min="6" max="6" width="52.08984375" bestFit="1" customWidth="1"/>
  </cols>
  <sheetData>
    <row r="1" spans="1:6" x14ac:dyDescent="0.35">
      <c r="A1" t="s">
        <v>72</v>
      </c>
      <c r="B1" t="s">
        <v>73</v>
      </c>
      <c r="C1" t="s">
        <v>128</v>
      </c>
      <c r="D1" t="s">
        <v>129</v>
      </c>
      <c r="E1" t="s">
        <v>74</v>
      </c>
      <c r="F1" t="s">
        <v>75</v>
      </c>
    </row>
    <row r="2" spans="1:6" x14ac:dyDescent="0.35">
      <c r="A2" t="s">
        <v>3</v>
      </c>
      <c r="B2" t="s">
        <v>4</v>
      </c>
      <c r="C2">
        <v>243764</v>
      </c>
      <c r="D2">
        <v>0</v>
      </c>
      <c r="E2">
        <v>17797</v>
      </c>
      <c r="F2">
        <v>0</v>
      </c>
    </row>
    <row r="3" spans="1:6" x14ac:dyDescent="0.35">
      <c r="A3" t="s">
        <v>5</v>
      </c>
      <c r="B3" t="s">
        <v>76</v>
      </c>
      <c r="C3">
        <v>336</v>
      </c>
      <c r="D3">
        <v>0</v>
      </c>
      <c r="E3">
        <v>603</v>
      </c>
      <c r="F3">
        <v>0</v>
      </c>
    </row>
    <row r="4" spans="1:6" x14ac:dyDescent="0.35">
      <c r="A4" t="s">
        <v>7</v>
      </c>
      <c r="B4" t="s">
        <v>8</v>
      </c>
      <c r="C4">
        <v>9743</v>
      </c>
      <c r="D4">
        <v>0</v>
      </c>
      <c r="E4">
        <v>46</v>
      </c>
      <c r="F4">
        <v>0</v>
      </c>
    </row>
    <row r="5" spans="1:6" x14ac:dyDescent="0.35">
      <c r="A5" t="s">
        <v>9</v>
      </c>
      <c r="B5" t="s">
        <v>10</v>
      </c>
      <c r="C5">
        <v>73747</v>
      </c>
      <c r="D5">
        <v>669</v>
      </c>
      <c r="E5">
        <v>3350</v>
      </c>
      <c r="F5">
        <v>6</v>
      </c>
    </row>
    <row r="6" spans="1:6" x14ac:dyDescent="0.35">
      <c r="A6" t="s">
        <v>11</v>
      </c>
      <c r="B6" t="s">
        <v>12</v>
      </c>
      <c r="C6">
        <v>393613</v>
      </c>
      <c r="D6">
        <v>0</v>
      </c>
      <c r="E6">
        <v>20878</v>
      </c>
      <c r="F6">
        <v>5575</v>
      </c>
    </row>
    <row r="7" spans="1:6" x14ac:dyDescent="0.35">
      <c r="A7" t="s">
        <v>13</v>
      </c>
      <c r="B7" t="s">
        <v>14</v>
      </c>
      <c r="C7">
        <v>6117</v>
      </c>
      <c r="D7">
        <v>0</v>
      </c>
      <c r="E7">
        <v>2512</v>
      </c>
      <c r="F7">
        <v>0</v>
      </c>
    </row>
    <row r="8" spans="1:6" x14ac:dyDescent="0.35">
      <c r="A8" t="s">
        <v>15</v>
      </c>
      <c r="B8" t="s">
        <v>16</v>
      </c>
      <c r="C8">
        <v>325050</v>
      </c>
      <c r="D8">
        <v>0</v>
      </c>
      <c r="E8">
        <v>18832</v>
      </c>
      <c r="F8">
        <v>0</v>
      </c>
    </row>
    <row r="9" spans="1:6" x14ac:dyDescent="0.35">
      <c r="A9" t="s">
        <v>17</v>
      </c>
      <c r="B9" t="s">
        <v>77</v>
      </c>
      <c r="C9">
        <v>2378</v>
      </c>
      <c r="D9">
        <v>0</v>
      </c>
      <c r="E9">
        <v>615</v>
      </c>
      <c r="F9">
        <v>0</v>
      </c>
    </row>
    <row r="10" spans="1:6" x14ac:dyDescent="0.35">
      <c r="A10" t="s">
        <v>18</v>
      </c>
      <c r="B10" t="s">
        <v>20</v>
      </c>
      <c r="C10">
        <v>725</v>
      </c>
      <c r="D10">
        <v>0</v>
      </c>
      <c r="E10">
        <v>28256</v>
      </c>
      <c r="F10">
        <v>0</v>
      </c>
    </row>
    <row r="11" spans="1:6" x14ac:dyDescent="0.35">
      <c r="A11" t="s">
        <v>19</v>
      </c>
      <c r="B11" t="s">
        <v>22</v>
      </c>
      <c r="C11">
        <v>3741</v>
      </c>
      <c r="D11">
        <v>59</v>
      </c>
      <c r="E11">
        <v>847</v>
      </c>
      <c r="F11">
        <v>15</v>
      </c>
    </row>
    <row r="12" spans="1:6" x14ac:dyDescent="0.35">
      <c r="A12" t="s">
        <v>21</v>
      </c>
      <c r="B12" t="s">
        <v>24</v>
      </c>
      <c r="C12">
        <v>560046</v>
      </c>
      <c r="D12">
        <v>0</v>
      </c>
      <c r="E12">
        <v>24149</v>
      </c>
      <c r="F12">
        <v>0</v>
      </c>
    </row>
    <row r="13" spans="1:6" x14ac:dyDescent="0.35">
      <c r="A13" t="s">
        <v>23</v>
      </c>
      <c r="B13" t="s">
        <v>26</v>
      </c>
      <c r="C13">
        <v>66427</v>
      </c>
      <c r="D13">
        <v>0</v>
      </c>
      <c r="E13">
        <v>11374</v>
      </c>
      <c r="F13">
        <v>0</v>
      </c>
    </row>
    <row r="14" spans="1:6" x14ac:dyDescent="0.35">
      <c r="A14" t="s">
        <v>25</v>
      </c>
      <c r="B14" t="s">
        <v>28</v>
      </c>
      <c r="C14">
        <v>6687</v>
      </c>
      <c r="D14">
        <v>16</v>
      </c>
      <c r="E14">
        <v>1567</v>
      </c>
      <c r="F14">
        <v>133</v>
      </c>
    </row>
    <row r="15" spans="1:6" x14ac:dyDescent="0.35">
      <c r="A15" t="s">
        <v>27</v>
      </c>
      <c r="B15" t="s">
        <v>30</v>
      </c>
      <c r="C15">
        <v>51235</v>
      </c>
      <c r="D15">
        <v>11</v>
      </c>
      <c r="E15">
        <v>3329</v>
      </c>
      <c r="F15">
        <v>0</v>
      </c>
    </row>
    <row r="16" spans="1:6" x14ac:dyDescent="0.35">
      <c r="A16" t="s">
        <v>29</v>
      </c>
      <c r="B16" t="s">
        <v>32</v>
      </c>
      <c r="C16">
        <v>218576</v>
      </c>
      <c r="D16">
        <v>75</v>
      </c>
      <c r="E16">
        <v>8732</v>
      </c>
      <c r="F16">
        <v>0</v>
      </c>
    </row>
    <row r="17" spans="1:6" x14ac:dyDescent="0.35">
      <c r="A17" t="s">
        <v>31</v>
      </c>
      <c r="B17" t="s">
        <v>34</v>
      </c>
      <c r="C17">
        <v>393278</v>
      </c>
      <c r="D17">
        <v>0</v>
      </c>
      <c r="E17">
        <v>36556</v>
      </c>
      <c r="F17">
        <v>0</v>
      </c>
    </row>
    <row r="18" spans="1:6" x14ac:dyDescent="0.35">
      <c r="A18" t="s">
        <v>33</v>
      </c>
      <c r="B18" t="s">
        <v>36</v>
      </c>
      <c r="C18">
        <v>37207</v>
      </c>
      <c r="D18">
        <v>0</v>
      </c>
      <c r="E18">
        <v>2803</v>
      </c>
      <c r="F18">
        <v>0</v>
      </c>
    </row>
    <row r="19" spans="1:6" x14ac:dyDescent="0.35">
      <c r="A19" t="s">
        <v>35</v>
      </c>
      <c r="B19" t="s">
        <v>78</v>
      </c>
      <c r="C19">
        <v>400</v>
      </c>
      <c r="D19">
        <v>0</v>
      </c>
      <c r="E19">
        <v>194</v>
      </c>
      <c r="F19">
        <v>0</v>
      </c>
    </row>
    <row r="20" spans="1:6" x14ac:dyDescent="0.35">
      <c r="A20" t="s">
        <v>37</v>
      </c>
      <c r="B20" t="s">
        <v>38</v>
      </c>
      <c r="C20">
        <v>577437</v>
      </c>
      <c r="D20">
        <v>1825</v>
      </c>
      <c r="E20">
        <v>19732</v>
      </c>
      <c r="F20">
        <v>494</v>
      </c>
    </row>
    <row r="21" spans="1:6" x14ac:dyDescent="0.35">
      <c r="A21" t="s">
        <v>39</v>
      </c>
      <c r="B21" t="s">
        <v>40</v>
      </c>
      <c r="C21">
        <v>711353</v>
      </c>
      <c r="D21">
        <v>733</v>
      </c>
      <c r="E21">
        <v>166465</v>
      </c>
      <c r="F21">
        <v>0</v>
      </c>
    </row>
    <row r="22" spans="1:6" x14ac:dyDescent="0.35">
      <c r="A22" t="s">
        <v>41</v>
      </c>
      <c r="B22" t="s">
        <v>42</v>
      </c>
      <c r="C22">
        <v>37593</v>
      </c>
      <c r="D22">
        <v>477</v>
      </c>
      <c r="E22">
        <v>512</v>
      </c>
      <c r="F22">
        <v>0</v>
      </c>
    </row>
    <row r="23" spans="1:6" x14ac:dyDescent="0.35">
      <c r="A23" t="s">
        <v>43</v>
      </c>
      <c r="B23" t="s">
        <v>44</v>
      </c>
      <c r="C23">
        <v>1604</v>
      </c>
      <c r="D23">
        <v>0</v>
      </c>
      <c r="E23">
        <v>152</v>
      </c>
      <c r="F23">
        <v>0</v>
      </c>
    </row>
    <row r="24" spans="1:6" x14ac:dyDescent="0.35">
      <c r="A24" t="s">
        <v>45</v>
      </c>
      <c r="B24" t="s">
        <v>46</v>
      </c>
      <c r="C24">
        <v>9724</v>
      </c>
      <c r="D24">
        <v>1475</v>
      </c>
      <c r="E24">
        <v>581</v>
      </c>
      <c r="F24">
        <v>26</v>
      </c>
    </row>
    <row r="25" spans="1:6" x14ac:dyDescent="0.35">
      <c r="A25" t="s">
        <v>47</v>
      </c>
      <c r="B25" t="s">
        <v>48</v>
      </c>
      <c r="C25">
        <v>19847</v>
      </c>
      <c r="D25">
        <v>0</v>
      </c>
      <c r="E25">
        <v>235</v>
      </c>
      <c r="F25">
        <v>0</v>
      </c>
    </row>
    <row r="26" spans="1:6" x14ac:dyDescent="0.35">
      <c r="A26" t="s">
        <v>49</v>
      </c>
      <c r="B26" t="s">
        <v>50</v>
      </c>
      <c r="C26">
        <v>140301</v>
      </c>
      <c r="D26">
        <v>656</v>
      </c>
      <c r="E26">
        <v>11999</v>
      </c>
      <c r="F26">
        <v>47</v>
      </c>
    </row>
    <row r="27" spans="1:6" x14ac:dyDescent="0.35">
      <c r="A27" t="s">
        <v>51</v>
      </c>
      <c r="B27" t="s">
        <v>52</v>
      </c>
      <c r="C27">
        <v>5162</v>
      </c>
      <c r="D27">
        <v>0</v>
      </c>
      <c r="E27">
        <v>836</v>
      </c>
      <c r="F27">
        <v>0</v>
      </c>
    </row>
    <row r="28" spans="1:6" x14ac:dyDescent="0.35">
      <c r="A28" t="s">
        <v>53</v>
      </c>
      <c r="B28" t="s">
        <v>54</v>
      </c>
      <c r="C28">
        <v>103683</v>
      </c>
      <c r="D28">
        <v>0</v>
      </c>
      <c r="E28">
        <v>11388</v>
      </c>
      <c r="F28">
        <v>123</v>
      </c>
    </row>
    <row r="29" spans="1:6" x14ac:dyDescent="0.35">
      <c r="A29" t="s">
        <v>55</v>
      </c>
      <c r="B29" t="s">
        <v>56</v>
      </c>
      <c r="C29">
        <v>367974</v>
      </c>
      <c r="D29">
        <v>541</v>
      </c>
      <c r="E29">
        <v>31300</v>
      </c>
      <c r="F29">
        <v>0</v>
      </c>
    </row>
    <row r="30" spans="1:6" x14ac:dyDescent="0.35">
      <c r="A30" t="s">
        <v>57</v>
      </c>
      <c r="B30" t="s">
        <v>58</v>
      </c>
      <c r="C30">
        <v>1066</v>
      </c>
      <c r="D30">
        <v>115</v>
      </c>
      <c r="E30">
        <v>163</v>
      </c>
      <c r="F30">
        <v>0</v>
      </c>
    </row>
    <row r="31" spans="1:6" x14ac:dyDescent="0.35">
      <c r="A31" t="s">
        <v>59</v>
      </c>
      <c r="B31" t="s">
        <v>60</v>
      </c>
      <c r="C31">
        <v>508562</v>
      </c>
      <c r="D31">
        <v>0</v>
      </c>
      <c r="E31">
        <v>92744</v>
      </c>
      <c r="F31">
        <v>0</v>
      </c>
    </row>
    <row r="32" spans="1:6" x14ac:dyDescent="0.35">
      <c r="A32" t="s">
        <v>61</v>
      </c>
      <c r="B32" t="s">
        <v>62</v>
      </c>
      <c r="C32">
        <v>156043</v>
      </c>
      <c r="D32">
        <v>1122</v>
      </c>
      <c r="E32">
        <v>10209</v>
      </c>
      <c r="F32">
        <v>5256</v>
      </c>
    </row>
    <row r="33" spans="1:6" x14ac:dyDescent="0.35">
      <c r="A33" t="s">
        <v>63</v>
      </c>
      <c r="B33" t="s">
        <v>64</v>
      </c>
      <c r="C33">
        <v>20269</v>
      </c>
      <c r="D33">
        <v>159</v>
      </c>
      <c r="E33">
        <v>1073</v>
      </c>
      <c r="F33">
        <v>16</v>
      </c>
    </row>
    <row r="34" spans="1:6" x14ac:dyDescent="0.35">
      <c r="A34" t="s">
        <v>65</v>
      </c>
      <c r="B34" t="s">
        <v>66</v>
      </c>
      <c r="C34">
        <v>896492</v>
      </c>
      <c r="D34">
        <v>1205</v>
      </c>
      <c r="E34">
        <v>69292</v>
      </c>
      <c r="F34">
        <v>7</v>
      </c>
    </row>
    <row r="35" spans="1:6" x14ac:dyDescent="0.35">
      <c r="A35" t="s">
        <v>67</v>
      </c>
      <c r="B35" t="s">
        <v>68</v>
      </c>
      <c r="C35">
        <v>23545</v>
      </c>
      <c r="D35">
        <v>0</v>
      </c>
      <c r="E35">
        <v>4642</v>
      </c>
      <c r="F35">
        <v>0</v>
      </c>
    </row>
    <row r="36" spans="1:6" x14ac:dyDescent="0.35">
      <c r="A36" t="s">
        <v>69</v>
      </c>
      <c r="B36" t="s">
        <v>70</v>
      </c>
      <c r="C36">
        <v>282542</v>
      </c>
      <c r="D36">
        <v>0</v>
      </c>
      <c r="E36">
        <v>5746</v>
      </c>
      <c r="F36">
        <v>0</v>
      </c>
    </row>
    <row r="37" spans="1:6" x14ac:dyDescent="0.35">
      <c r="A37" t="s">
        <v>71</v>
      </c>
      <c r="B37" t="s">
        <v>71</v>
      </c>
      <c r="C37">
        <v>6256267</v>
      </c>
      <c r="D37">
        <v>9138</v>
      </c>
      <c r="E37">
        <v>609509</v>
      </c>
      <c r="F37">
        <v>11698</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7B76-4BF4-4E8A-B2D1-FFB3EBB301B7}">
  <dimension ref="A1:F37"/>
  <sheetViews>
    <sheetView workbookViewId="0">
      <selection activeCell="E2" sqref="E2"/>
    </sheetView>
  </sheetViews>
  <sheetFormatPr defaultRowHeight="14.5" x14ac:dyDescent="0.35"/>
  <cols>
    <col min="1" max="1" width="8.453125" bestFit="1" customWidth="1"/>
    <col min="2" max="2" width="36.1796875" bestFit="1" customWidth="1"/>
    <col min="3" max="3" width="34.08984375" bestFit="1" customWidth="1"/>
    <col min="4" max="4" width="44.7265625" bestFit="1" customWidth="1"/>
    <col min="5" max="5" width="7.08984375" bestFit="1" customWidth="1"/>
    <col min="6" max="6" width="30.7265625" bestFit="1" customWidth="1"/>
  </cols>
  <sheetData>
    <row r="1" spans="1:6" x14ac:dyDescent="0.35">
      <c r="A1" t="s">
        <v>79</v>
      </c>
      <c r="B1" t="s">
        <v>80</v>
      </c>
      <c r="C1" t="s">
        <v>130</v>
      </c>
      <c r="D1" t="s">
        <v>131</v>
      </c>
      <c r="E1" t="s">
        <v>85</v>
      </c>
      <c r="F1" t="s">
        <v>84</v>
      </c>
    </row>
    <row r="2" spans="1:6" x14ac:dyDescent="0.35">
      <c r="A2" t="s">
        <v>3</v>
      </c>
      <c r="B2" t="s">
        <v>4</v>
      </c>
      <c r="C2">
        <v>243764</v>
      </c>
      <c r="D2">
        <v>17799</v>
      </c>
      <c r="E2" s="8">
        <v>17797</v>
      </c>
      <c r="F2">
        <f t="shared" ref="F2:F37" si="0">D2-E2</f>
        <v>2</v>
      </c>
    </row>
    <row r="3" spans="1:6" x14ac:dyDescent="0.35">
      <c r="A3" t="s">
        <v>5</v>
      </c>
      <c r="B3" t="s">
        <v>6</v>
      </c>
      <c r="C3">
        <v>336</v>
      </c>
      <c r="D3">
        <v>609</v>
      </c>
      <c r="E3" s="9">
        <v>603</v>
      </c>
      <c r="F3">
        <f t="shared" si="0"/>
        <v>6</v>
      </c>
    </row>
    <row r="4" spans="1:6" x14ac:dyDescent="0.35">
      <c r="A4" t="s">
        <v>7</v>
      </c>
      <c r="B4" t="s">
        <v>8</v>
      </c>
      <c r="C4">
        <v>9743</v>
      </c>
      <c r="D4">
        <v>89</v>
      </c>
      <c r="E4" s="8">
        <v>46</v>
      </c>
      <c r="F4">
        <f t="shared" si="0"/>
        <v>43</v>
      </c>
    </row>
    <row r="5" spans="1:6" x14ac:dyDescent="0.35">
      <c r="A5" t="s">
        <v>9</v>
      </c>
      <c r="B5" t="s">
        <v>10</v>
      </c>
      <c r="C5">
        <v>78214</v>
      </c>
      <c r="D5">
        <v>3356</v>
      </c>
      <c r="E5" s="9">
        <v>3350</v>
      </c>
      <c r="F5">
        <f t="shared" si="0"/>
        <v>6</v>
      </c>
    </row>
    <row r="6" spans="1:6" x14ac:dyDescent="0.35">
      <c r="A6" t="s">
        <v>11</v>
      </c>
      <c r="B6" t="s">
        <v>12</v>
      </c>
      <c r="C6">
        <v>393613</v>
      </c>
      <c r="D6">
        <v>28677</v>
      </c>
      <c r="E6" s="8">
        <v>20878</v>
      </c>
      <c r="F6">
        <f t="shared" si="0"/>
        <v>7799</v>
      </c>
    </row>
    <row r="7" spans="1:6" x14ac:dyDescent="0.35">
      <c r="A7" t="s">
        <v>13</v>
      </c>
      <c r="B7" t="s">
        <v>14</v>
      </c>
      <c r="C7">
        <v>6117</v>
      </c>
      <c r="D7">
        <v>2512</v>
      </c>
      <c r="E7" s="9">
        <v>2512</v>
      </c>
      <c r="F7">
        <f t="shared" si="0"/>
        <v>0</v>
      </c>
    </row>
    <row r="8" spans="1:6" x14ac:dyDescent="0.35">
      <c r="A8" t="s">
        <v>15</v>
      </c>
      <c r="B8" t="s">
        <v>16</v>
      </c>
      <c r="C8">
        <v>326429</v>
      </c>
      <c r="D8">
        <v>18832</v>
      </c>
      <c r="E8" s="8">
        <v>18832</v>
      </c>
      <c r="F8">
        <f t="shared" si="0"/>
        <v>0</v>
      </c>
    </row>
    <row r="9" spans="1:6" x14ac:dyDescent="0.35">
      <c r="A9" t="s">
        <v>17</v>
      </c>
      <c r="B9" t="s">
        <v>77</v>
      </c>
      <c r="C9">
        <v>2378</v>
      </c>
      <c r="D9">
        <v>615</v>
      </c>
      <c r="E9" s="9">
        <v>615</v>
      </c>
      <c r="F9">
        <f t="shared" si="0"/>
        <v>0</v>
      </c>
    </row>
    <row r="10" spans="1:6" x14ac:dyDescent="0.35">
      <c r="A10" t="s">
        <v>18</v>
      </c>
      <c r="B10" t="s">
        <v>20</v>
      </c>
      <c r="C10">
        <v>725</v>
      </c>
      <c r="D10">
        <v>28256</v>
      </c>
      <c r="E10" s="8">
        <v>28256</v>
      </c>
      <c r="F10">
        <f t="shared" si="0"/>
        <v>0</v>
      </c>
    </row>
    <row r="11" spans="1:6" x14ac:dyDescent="0.35">
      <c r="A11" t="s">
        <v>19</v>
      </c>
      <c r="B11" t="s">
        <v>22</v>
      </c>
      <c r="C11">
        <v>3800</v>
      </c>
      <c r="D11">
        <v>1270</v>
      </c>
      <c r="E11" s="9">
        <v>847</v>
      </c>
      <c r="F11">
        <f t="shared" si="0"/>
        <v>423</v>
      </c>
    </row>
    <row r="12" spans="1:6" x14ac:dyDescent="0.35">
      <c r="A12" t="s">
        <v>21</v>
      </c>
      <c r="B12" t="s">
        <v>24</v>
      </c>
      <c r="C12">
        <v>560046</v>
      </c>
      <c r="D12">
        <v>24149</v>
      </c>
      <c r="E12" s="8">
        <v>24149</v>
      </c>
      <c r="F12">
        <f t="shared" si="0"/>
        <v>0</v>
      </c>
    </row>
    <row r="13" spans="1:6" x14ac:dyDescent="0.35">
      <c r="A13" t="s">
        <v>23</v>
      </c>
      <c r="B13" t="s">
        <v>26</v>
      </c>
      <c r="C13">
        <v>66638</v>
      </c>
      <c r="D13">
        <v>11374</v>
      </c>
      <c r="E13" s="9">
        <v>11374</v>
      </c>
      <c r="F13">
        <f t="shared" si="0"/>
        <v>0</v>
      </c>
    </row>
    <row r="14" spans="1:6" x14ac:dyDescent="0.35">
      <c r="A14" t="s">
        <v>25</v>
      </c>
      <c r="B14" t="s">
        <v>28</v>
      </c>
      <c r="C14">
        <v>6743</v>
      </c>
      <c r="D14">
        <v>1700</v>
      </c>
      <c r="E14" s="8">
        <v>1567</v>
      </c>
      <c r="F14">
        <f t="shared" si="0"/>
        <v>133</v>
      </c>
    </row>
    <row r="15" spans="1:6" x14ac:dyDescent="0.35">
      <c r="A15" t="s">
        <v>27</v>
      </c>
      <c r="B15" t="s">
        <v>30</v>
      </c>
      <c r="C15">
        <v>51246</v>
      </c>
      <c r="D15">
        <v>3451</v>
      </c>
      <c r="E15" s="9">
        <v>3329</v>
      </c>
      <c r="F15">
        <f t="shared" si="0"/>
        <v>122</v>
      </c>
    </row>
    <row r="16" spans="1:6" x14ac:dyDescent="0.35">
      <c r="A16" t="s">
        <v>29</v>
      </c>
      <c r="B16" t="s">
        <v>32</v>
      </c>
      <c r="C16">
        <v>218686</v>
      </c>
      <c r="D16">
        <v>9643</v>
      </c>
      <c r="E16" s="8">
        <v>8732</v>
      </c>
      <c r="F16">
        <f t="shared" si="0"/>
        <v>911</v>
      </c>
    </row>
    <row r="17" spans="1:6" x14ac:dyDescent="0.35">
      <c r="A17" t="s">
        <v>31</v>
      </c>
      <c r="B17" t="s">
        <v>34</v>
      </c>
      <c r="C17">
        <v>393278</v>
      </c>
      <c r="D17">
        <v>36556</v>
      </c>
      <c r="E17" s="9">
        <v>36556</v>
      </c>
      <c r="F17">
        <f t="shared" si="0"/>
        <v>0</v>
      </c>
    </row>
    <row r="18" spans="1:6" x14ac:dyDescent="0.35">
      <c r="A18" t="s">
        <v>33</v>
      </c>
      <c r="B18" t="s">
        <v>36</v>
      </c>
      <c r="C18">
        <v>37207</v>
      </c>
      <c r="D18">
        <v>2872</v>
      </c>
      <c r="E18" s="8">
        <v>2803</v>
      </c>
      <c r="F18">
        <f t="shared" si="0"/>
        <v>69</v>
      </c>
    </row>
    <row r="19" spans="1:6" x14ac:dyDescent="0.35">
      <c r="A19" t="s">
        <v>35</v>
      </c>
      <c r="B19" t="s">
        <v>78</v>
      </c>
      <c r="C19">
        <v>400</v>
      </c>
      <c r="D19">
        <v>194</v>
      </c>
      <c r="E19" s="9">
        <v>194</v>
      </c>
      <c r="F19">
        <f t="shared" si="0"/>
        <v>0</v>
      </c>
    </row>
    <row r="20" spans="1:6" x14ac:dyDescent="0.35">
      <c r="A20" t="s">
        <v>37</v>
      </c>
      <c r="B20" t="s">
        <v>38</v>
      </c>
      <c r="C20">
        <v>579642</v>
      </c>
      <c r="D20">
        <v>29867</v>
      </c>
      <c r="E20" s="8">
        <v>19732</v>
      </c>
      <c r="F20">
        <f t="shared" si="0"/>
        <v>10135</v>
      </c>
    </row>
    <row r="21" spans="1:6" x14ac:dyDescent="0.35">
      <c r="A21" t="s">
        <v>39</v>
      </c>
      <c r="B21" t="s">
        <v>40</v>
      </c>
      <c r="C21">
        <v>714978</v>
      </c>
      <c r="D21">
        <v>166465</v>
      </c>
      <c r="E21" s="9">
        <v>166465</v>
      </c>
      <c r="F21">
        <f t="shared" si="0"/>
        <v>0</v>
      </c>
    </row>
    <row r="22" spans="1:6" x14ac:dyDescent="0.35">
      <c r="A22" t="s">
        <v>41</v>
      </c>
      <c r="B22" t="s">
        <v>42</v>
      </c>
      <c r="C22">
        <v>39240</v>
      </c>
      <c r="D22">
        <v>581</v>
      </c>
      <c r="E22" s="8">
        <v>512</v>
      </c>
      <c r="F22">
        <f t="shared" si="0"/>
        <v>69</v>
      </c>
    </row>
    <row r="23" spans="1:6" x14ac:dyDescent="0.35">
      <c r="A23" t="s">
        <v>43</v>
      </c>
      <c r="B23" t="s">
        <v>44</v>
      </c>
      <c r="C23">
        <v>1604</v>
      </c>
      <c r="D23">
        <v>152</v>
      </c>
      <c r="E23" s="9">
        <v>152</v>
      </c>
      <c r="F23">
        <f t="shared" si="0"/>
        <v>0</v>
      </c>
    </row>
    <row r="24" spans="1:6" x14ac:dyDescent="0.35">
      <c r="A24" t="s">
        <v>45</v>
      </c>
      <c r="B24" t="s">
        <v>46</v>
      </c>
      <c r="C24">
        <v>12373</v>
      </c>
      <c r="D24">
        <v>1324</v>
      </c>
      <c r="E24" s="8">
        <v>581</v>
      </c>
      <c r="F24">
        <f t="shared" si="0"/>
        <v>743</v>
      </c>
    </row>
    <row r="25" spans="1:6" x14ac:dyDescent="0.35">
      <c r="A25" t="s">
        <v>47</v>
      </c>
      <c r="B25" t="s">
        <v>48</v>
      </c>
      <c r="C25">
        <v>19847</v>
      </c>
      <c r="D25">
        <v>238</v>
      </c>
      <c r="E25" s="9">
        <v>235</v>
      </c>
      <c r="F25">
        <f t="shared" si="0"/>
        <v>3</v>
      </c>
    </row>
    <row r="26" spans="1:6" x14ac:dyDescent="0.35">
      <c r="A26" t="s">
        <v>49</v>
      </c>
      <c r="B26" t="s">
        <v>50</v>
      </c>
      <c r="C26">
        <v>142598</v>
      </c>
      <c r="D26">
        <v>12211</v>
      </c>
      <c r="E26" s="8">
        <v>11999</v>
      </c>
      <c r="F26">
        <f t="shared" si="0"/>
        <v>212</v>
      </c>
    </row>
    <row r="27" spans="1:6" x14ac:dyDescent="0.35">
      <c r="A27" t="s">
        <v>51</v>
      </c>
      <c r="B27" t="s">
        <v>52</v>
      </c>
      <c r="C27">
        <v>5162</v>
      </c>
      <c r="D27">
        <v>836</v>
      </c>
      <c r="E27" s="9">
        <v>836</v>
      </c>
      <c r="F27">
        <f t="shared" si="0"/>
        <v>0</v>
      </c>
    </row>
    <row r="28" spans="1:6" x14ac:dyDescent="0.35">
      <c r="A28" t="s">
        <v>53</v>
      </c>
      <c r="B28" t="s">
        <v>54</v>
      </c>
      <c r="C28">
        <v>103683</v>
      </c>
      <c r="D28">
        <v>11522</v>
      </c>
      <c r="E28" s="8">
        <v>11388</v>
      </c>
      <c r="F28">
        <f t="shared" si="0"/>
        <v>134</v>
      </c>
    </row>
    <row r="29" spans="1:6" x14ac:dyDescent="0.35">
      <c r="A29" t="s">
        <v>55</v>
      </c>
      <c r="B29" t="s">
        <v>56</v>
      </c>
      <c r="C29">
        <v>368515</v>
      </c>
      <c r="D29">
        <v>31300</v>
      </c>
      <c r="E29" s="9">
        <v>31300</v>
      </c>
      <c r="F29">
        <f t="shared" si="0"/>
        <v>0</v>
      </c>
    </row>
    <row r="30" spans="1:6" x14ac:dyDescent="0.35">
      <c r="A30" t="s">
        <v>57</v>
      </c>
      <c r="B30" t="s">
        <v>58</v>
      </c>
      <c r="C30">
        <v>1398</v>
      </c>
      <c r="D30">
        <v>268</v>
      </c>
      <c r="E30" s="8">
        <v>163</v>
      </c>
      <c r="F30">
        <f t="shared" si="0"/>
        <v>105</v>
      </c>
    </row>
    <row r="31" spans="1:6" x14ac:dyDescent="0.35">
      <c r="A31" t="s">
        <v>59</v>
      </c>
      <c r="B31" t="s">
        <v>60</v>
      </c>
      <c r="C31">
        <v>508562</v>
      </c>
      <c r="D31">
        <v>92744</v>
      </c>
      <c r="E31" s="9">
        <v>92744</v>
      </c>
      <c r="F31">
        <f t="shared" si="0"/>
        <v>0</v>
      </c>
    </row>
    <row r="32" spans="1:6" x14ac:dyDescent="0.35">
      <c r="A32" t="s">
        <v>61</v>
      </c>
      <c r="B32" t="s">
        <v>62</v>
      </c>
      <c r="C32">
        <v>157165</v>
      </c>
      <c r="D32">
        <v>15465</v>
      </c>
      <c r="E32" s="8">
        <v>10209</v>
      </c>
      <c r="F32">
        <f t="shared" si="0"/>
        <v>5256</v>
      </c>
    </row>
    <row r="33" spans="1:6" x14ac:dyDescent="0.35">
      <c r="A33" t="s">
        <v>63</v>
      </c>
      <c r="B33" t="s">
        <v>64</v>
      </c>
      <c r="C33">
        <v>20935</v>
      </c>
      <c r="D33">
        <v>1089</v>
      </c>
      <c r="E33" s="9">
        <v>1073</v>
      </c>
      <c r="F33">
        <f t="shared" si="0"/>
        <v>16</v>
      </c>
    </row>
    <row r="34" spans="1:6" x14ac:dyDescent="0.35">
      <c r="A34" t="s">
        <v>65</v>
      </c>
      <c r="B34" t="s">
        <v>66</v>
      </c>
      <c r="C34">
        <v>897697</v>
      </c>
      <c r="D34">
        <v>70370</v>
      </c>
      <c r="E34" s="8">
        <v>69292</v>
      </c>
      <c r="F34">
        <f t="shared" si="0"/>
        <v>1078</v>
      </c>
    </row>
    <row r="35" spans="1:6" x14ac:dyDescent="0.35">
      <c r="A35" t="s">
        <v>67</v>
      </c>
      <c r="B35" t="s">
        <v>68</v>
      </c>
      <c r="C35">
        <v>25701</v>
      </c>
      <c r="D35">
        <v>4694</v>
      </c>
      <c r="E35" s="9">
        <v>4642</v>
      </c>
      <c r="F35">
        <f t="shared" si="0"/>
        <v>52</v>
      </c>
    </row>
    <row r="36" spans="1:6" x14ac:dyDescent="0.35">
      <c r="A36" t="s">
        <v>69</v>
      </c>
      <c r="B36" t="s">
        <v>70</v>
      </c>
      <c r="C36">
        <v>282542</v>
      </c>
      <c r="D36">
        <v>5746</v>
      </c>
      <c r="E36" s="8">
        <v>5746</v>
      </c>
      <c r="F36">
        <f t="shared" si="0"/>
        <v>0</v>
      </c>
    </row>
    <row r="37" spans="1:6" x14ac:dyDescent="0.35">
      <c r="A37" t="s">
        <v>71</v>
      </c>
      <c r="B37" t="s">
        <v>71</v>
      </c>
      <c r="C37">
        <v>6281005</v>
      </c>
      <c r="D37">
        <v>636826</v>
      </c>
      <c r="E37">
        <v>609509</v>
      </c>
      <c r="F37">
        <f t="shared" si="0"/>
        <v>27317</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52ED-8891-44EB-A064-235F52A76C21}">
  <dimension ref="A3:B9"/>
  <sheetViews>
    <sheetView zoomScale="88" workbookViewId="0">
      <selection activeCell="C25" sqref="C25"/>
    </sheetView>
  </sheetViews>
  <sheetFormatPr defaultRowHeight="14.5" x14ac:dyDescent="0.35"/>
  <cols>
    <col min="1" max="1" width="14.1796875" bestFit="1" customWidth="1"/>
    <col min="2" max="2" width="12" bestFit="1" customWidth="1"/>
    <col min="3" max="3" width="32.6328125" bestFit="1" customWidth="1"/>
  </cols>
  <sheetData>
    <row r="3" spans="1:2" x14ac:dyDescent="0.35">
      <c r="A3" s="13" t="s">
        <v>91</v>
      </c>
      <c r="B3" t="s">
        <v>104</v>
      </c>
    </row>
    <row r="4" spans="1:2" x14ac:dyDescent="0.35">
      <c r="A4" s="14" t="s">
        <v>12</v>
      </c>
      <c r="B4">
        <v>7799</v>
      </c>
    </row>
    <row r="5" spans="1:2" x14ac:dyDescent="0.35">
      <c r="A5" s="14" t="s">
        <v>32</v>
      </c>
      <c r="B5">
        <v>911</v>
      </c>
    </row>
    <row r="6" spans="1:2" x14ac:dyDescent="0.35">
      <c r="A6" s="14" t="s">
        <v>38</v>
      </c>
      <c r="B6">
        <v>10135</v>
      </c>
    </row>
    <row r="7" spans="1:2" x14ac:dyDescent="0.35">
      <c r="A7" s="14" t="s">
        <v>62</v>
      </c>
      <c r="B7">
        <v>5256</v>
      </c>
    </row>
    <row r="8" spans="1:2" x14ac:dyDescent="0.35">
      <c r="A8" s="14" t="s">
        <v>66</v>
      </c>
      <c r="B8">
        <v>1078</v>
      </c>
    </row>
    <row r="9" spans="1:2" x14ac:dyDescent="0.35">
      <c r="A9" s="14" t="s">
        <v>92</v>
      </c>
      <c r="B9">
        <v>25179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4480-23B3-4B0B-B845-BA1AD875F9D6}">
  <dimension ref="A3:B9"/>
  <sheetViews>
    <sheetView workbookViewId="0">
      <selection activeCell="B6" sqref="B6"/>
    </sheetView>
  </sheetViews>
  <sheetFormatPr defaultRowHeight="14.5" x14ac:dyDescent="0.35"/>
  <cols>
    <col min="1" max="1" width="12.453125" bestFit="1" customWidth="1"/>
    <col min="2" max="2" width="15.08984375" bestFit="1" customWidth="1"/>
    <col min="3" max="3" width="35.08984375" bestFit="1" customWidth="1"/>
  </cols>
  <sheetData>
    <row r="3" spans="1:2" x14ac:dyDescent="0.35">
      <c r="A3" s="13" t="s">
        <v>91</v>
      </c>
      <c r="B3" t="s">
        <v>103</v>
      </c>
    </row>
    <row r="4" spans="1:2" x14ac:dyDescent="0.35">
      <c r="A4" s="14" t="s">
        <v>12</v>
      </c>
      <c r="B4">
        <v>4754</v>
      </c>
    </row>
    <row r="5" spans="1:2" x14ac:dyDescent="0.35">
      <c r="A5" s="14" t="s">
        <v>56</v>
      </c>
      <c r="B5">
        <v>8153</v>
      </c>
    </row>
    <row r="6" spans="1:2" x14ac:dyDescent="0.35">
      <c r="A6" s="14" t="s">
        <v>62</v>
      </c>
      <c r="B6">
        <v>4209</v>
      </c>
    </row>
    <row r="7" spans="1:2" x14ac:dyDescent="0.35">
      <c r="A7" s="14" t="s">
        <v>66</v>
      </c>
      <c r="B7">
        <v>6802</v>
      </c>
    </row>
    <row r="8" spans="1:2" x14ac:dyDescent="0.35">
      <c r="A8" s="14" t="s">
        <v>70</v>
      </c>
      <c r="B8">
        <v>5447</v>
      </c>
    </row>
    <row r="9" spans="1:2" x14ac:dyDescent="0.35">
      <c r="A9" s="14" t="s">
        <v>92</v>
      </c>
      <c r="B9">
        <v>29365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53C8-F84E-4DDA-91C8-75A0D02B9556}">
  <dimension ref="A4:B10"/>
  <sheetViews>
    <sheetView workbookViewId="0">
      <selection activeCell="K23" sqref="K23"/>
    </sheetView>
  </sheetViews>
  <sheetFormatPr defaultRowHeight="14.5" x14ac:dyDescent="0.35"/>
  <cols>
    <col min="1" max="1" width="12.453125" bestFit="1" customWidth="1"/>
    <col min="2" max="2" width="12" bestFit="1" customWidth="1"/>
    <col min="3" max="14" width="5.81640625" bestFit="1" customWidth="1"/>
    <col min="15" max="23" width="4.81640625" bestFit="1" customWidth="1"/>
    <col min="24" max="34" width="3.81640625" bestFit="1" customWidth="1"/>
    <col min="35" max="35" width="2.81640625" bestFit="1" customWidth="1"/>
    <col min="36" max="36" width="1.81640625" bestFit="1" customWidth="1"/>
    <col min="37" max="37" width="10.36328125" bestFit="1" customWidth="1"/>
  </cols>
  <sheetData>
    <row r="4" spans="1:2" x14ac:dyDescent="0.35">
      <c r="A4" s="13" t="s">
        <v>91</v>
      </c>
      <c r="B4" t="s">
        <v>102</v>
      </c>
    </row>
    <row r="5" spans="1:2" x14ac:dyDescent="0.35">
      <c r="A5" s="14" t="s">
        <v>66</v>
      </c>
      <c r="B5">
        <v>62490</v>
      </c>
    </row>
    <row r="6" spans="1:2" x14ac:dyDescent="0.35">
      <c r="A6" s="14" t="s">
        <v>60</v>
      </c>
      <c r="B6">
        <v>89648</v>
      </c>
    </row>
    <row r="7" spans="1:2" x14ac:dyDescent="0.35">
      <c r="A7" s="14" t="s">
        <v>40</v>
      </c>
      <c r="B7">
        <v>166465</v>
      </c>
    </row>
    <row r="8" spans="1:2" x14ac:dyDescent="0.35">
      <c r="A8" s="14" t="s">
        <v>34</v>
      </c>
      <c r="B8">
        <v>34387</v>
      </c>
    </row>
    <row r="9" spans="1:2" x14ac:dyDescent="0.35">
      <c r="A9" s="14" t="s">
        <v>20</v>
      </c>
      <c r="B9">
        <v>24186</v>
      </c>
    </row>
    <row r="10" spans="1:2" x14ac:dyDescent="0.35">
      <c r="A10" s="14" t="s">
        <v>92</v>
      </c>
      <c r="B10">
        <v>377176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F4FD-B9E8-43B4-BB5A-BAEADFF5DA1A}">
  <dimension ref="A3:B11"/>
  <sheetViews>
    <sheetView zoomScale="73" workbookViewId="0">
      <selection activeCell="G22" sqref="G22"/>
    </sheetView>
  </sheetViews>
  <sheetFormatPr defaultRowHeight="14.5" x14ac:dyDescent="0.35"/>
  <cols>
    <col min="1" max="1" width="31.81640625" bestFit="1" customWidth="1"/>
    <col min="2" max="2" width="6.81640625" bestFit="1" customWidth="1"/>
    <col min="3" max="4" width="29.08984375" bestFit="1" customWidth="1"/>
  </cols>
  <sheetData>
    <row r="3" spans="1:2" x14ac:dyDescent="0.35">
      <c r="A3" s="13" t="s">
        <v>105</v>
      </c>
    </row>
    <row r="4" spans="1:2" x14ac:dyDescent="0.35">
      <c r="A4" s="14" t="s">
        <v>97</v>
      </c>
      <c r="B4">
        <v>561298</v>
      </c>
    </row>
    <row r="5" spans="1:2" x14ac:dyDescent="0.35">
      <c r="A5" s="14" t="s">
        <v>94</v>
      </c>
      <c r="B5">
        <v>609509</v>
      </c>
    </row>
    <row r="6" spans="1:2" x14ac:dyDescent="0.35">
      <c r="A6" s="14" t="s">
        <v>96</v>
      </c>
      <c r="B6">
        <v>636826</v>
      </c>
    </row>
    <row r="8" spans="1:2" x14ac:dyDescent="0.35">
      <c r="A8" s="14" t="s">
        <v>106</v>
      </c>
      <c r="B8" t="s">
        <v>120</v>
      </c>
    </row>
    <row r="9" spans="1:2" x14ac:dyDescent="0.35">
      <c r="A9" s="14" t="s">
        <v>121</v>
      </c>
      <c r="B9" s="18">
        <f>(B5-B4)/B4</f>
        <v>8.5891986075133001E-2</v>
      </c>
    </row>
    <row r="10" spans="1:2" x14ac:dyDescent="0.35">
      <c r="A10" s="14" t="s">
        <v>122</v>
      </c>
      <c r="B10" s="18">
        <f>(B6-B5)/B5</f>
        <v>4.4818042063365759E-2</v>
      </c>
    </row>
    <row r="11" spans="1:2" x14ac:dyDescent="0.35">
      <c r="A11" s="14" t="s">
        <v>123</v>
      </c>
      <c r="B11" s="18">
        <f>(B6-B4)/B4</f>
        <v>0.13455953878332008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40B3-5707-477F-9F50-90CC842E7FD8}">
  <dimension ref="A1:D39"/>
  <sheetViews>
    <sheetView zoomScale="75" workbookViewId="0">
      <selection activeCell="B9" sqref="B9"/>
    </sheetView>
  </sheetViews>
  <sheetFormatPr defaultRowHeight="14.5" x14ac:dyDescent="0.35"/>
  <cols>
    <col min="1" max="1" width="33.54296875" bestFit="1" customWidth="1"/>
    <col min="2" max="2" width="23.36328125" bestFit="1" customWidth="1"/>
    <col min="3" max="3" width="28.7265625" bestFit="1" customWidth="1"/>
    <col min="4" max="4" width="22.81640625" bestFit="1" customWidth="1"/>
    <col min="5" max="5" width="26.36328125" bestFit="1" customWidth="1"/>
    <col min="6" max="6" width="36.1796875" bestFit="1" customWidth="1"/>
    <col min="7" max="7" width="10.36328125" bestFit="1" customWidth="1"/>
  </cols>
  <sheetData>
    <row r="1" spans="1:4" x14ac:dyDescent="0.35">
      <c r="A1" s="13" t="s">
        <v>106</v>
      </c>
      <c r="B1" t="s">
        <v>109</v>
      </c>
    </row>
    <row r="3" spans="1:4" x14ac:dyDescent="0.35">
      <c r="A3" s="13" t="s">
        <v>91</v>
      </c>
      <c r="B3" t="s">
        <v>108</v>
      </c>
      <c r="C3" t="s">
        <v>110</v>
      </c>
      <c r="D3" t="s">
        <v>108</v>
      </c>
    </row>
    <row r="4" spans="1:4" x14ac:dyDescent="0.35">
      <c r="A4" s="14" t="s">
        <v>6</v>
      </c>
      <c r="B4">
        <v>1821</v>
      </c>
      <c r="C4" t="str">
        <f>A4</f>
        <v>Andaman and Nicobar</v>
      </c>
      <c r="D4">
        <f>B4</f>
        <v>1821</v>
      </c>
    </row>
    <row r="5" spans="1:4" x14ac:dyDescent="0.35">
      <c r="A5" s="14" t="s">
        <v>4</v>
      </c>
      <c r="B5">
        <v>53395</v>
      </c>
      <c r="C5" t="str">
        <f t="shared" ref="C5:C39" si="0">A5</f>
        <v>Andhra Pradesh</v>
      </c>
      <c r="D5">
        <f t="shared" ref="D5:D39" si="1">B5</f>
        <v>53395</v>
      </c>
    </row>
    <row r="6" spans="1:4" x14ac:dyDescent="0.35">
      <c r="A6" s="14" t="s">
        <v>8</v>
      </c>
      <c r="B6">
        <v>224</v>
      </c>
      <c r="C6" t="str">
        <f t="shared" si="0"/>
        <v>Arunachal Pradesh</v>
      </c>
      <c r="D6">
        <f t="shared" si="1"/>
        <v>224</v>
      </c>
    </row>
    <row r="7" spans="1:4" x14ac:dyDescent="0.35">
      <c r="A7" s="14" t="s">
        <v>10</v>
      </c>
      <c r="B7">
        <v>10062</v>
      </c>
      <c r="C7" t="str">
        <f t="shared" si="0"/>
        <v>Assam</v>
      </c>
      <c r="D7">
        <f t="shared" si="1"/>
        <v>10062</v>
      </c>
    </row>
    <row r="8" spans="1:4" x14ac:dyDescent="0.35">
      <c r="A8" s="14" t="s">
        <v>12</v>
      </c>
      <c r="B8">
        <v>78232</v>
      </c>
      <c r="C8" t="str">
        <f t="shared" si="0"/>
        <v>Bihar</v>
      </c>
      <c r="D8">
        <f t="shared" si="1"/>
        <v>78232</v>
      </c>
    </row>
    <row r="9" spans="1:4" x14ac:dyDescent="0.35">
      <c r="A9" s="14" t="s">
        <v>14</v>
      </c>
      <c r="B9">
        <v>7536</v>
      </c>
      <c r="C9" t="str">
        <f t="shared" si="0"/>
        <v>Chandigarh</v>
      </c>
      <c r="D9">
        <f t="shared" si="1"/>
        <v>7536</v>
      </c>
    </row>
    <row r="10" spans="1:4" x14ac:dyDescent="0.35">
      <c r="A10" s="14" t="s">
        <v>16</v>
      </c>
      <c r="B10">
        <v>56496</v>
      </c>
      <c r="C10" t="str">
        <f t="shared" si="0"/>
        <v>Chhattisgarh</v>
      </c>
      <c r="D10">
        <f t="shared" si="1"/>
        <v>56496</v>
      </c>
    </row>
    <row r="11" spans="1:4" x14ac:dyDescent="0.35">
      <c r="A11" s="14" t="s">
        <v>82</v>
      </c>
      <c r="B11">
        <v>1845</v>
      </c>
      <c r="C11" t="str">
        <f t="shared" si="0"/>
        <v>Daman &amp; Diu and Dadra &amp; Nagra Haveli</v>
      </c>
      <c r="D11">
        <f t="shared" si="1"/>
        <v>1845</v>
      </c>
    </row>
    <row r="12" spans="1:4" x14ac:dyDescent="0.35">
      <c r="A12" s="14" t="s">
        <v>20</v>
      </c>
      <c r="B12">
        <v>84768</v>
      </c>
      <c r="C12" t="str">
        <f t="shared" si="0"/>
        <v>Delhi</v>
      </c>
      <c r="D12">
        <f t="shared" si="1"/>
        <v>84768</v>
      </c>
    </row>
    <row r="13" spans="1:4" x14ac:dyDescent="0.35">
      <c r="A13" s="14" t="s">
        <v>22</v>
      </c>
      <c r="B13">
        <v>3387</v>
      </c>
      <c r="C13" t="str">
        <f t="shared" si="0"/>
        <v>Goa</v>
      </c>
      <c r="D13">
        <f t="shared" si="1"/>
        <v>3387</v>
      </c>
    </row>
    <row r="14" spans="1:4" x14ac:dyDescent="0.35">
      <c r="A14" s="14" t="s">
        <v>24</v>
      </c>
      <c r="B14">
        <v>72447</v>
      </c>
      <c r="C14" t="str">
        <f t="shared" si="0"/>
        <v>Gujarat</v>
      </c>
      <c r="D14">
        <f t="shared" si="1"/>
        <v>72447</v>
      </c>
    </row>
    <row r="15" spans="1:4" x14ac:dyDescent="0.35">
      <c r="A15" s="14" t="s">
        <v>26</v>
      </c>
      <c r="B15">
        <v>34122</v>
      </c>
      <c r="C15" t="str">
        <f t="shared" si="0"/>
        <v>Haryana</v>
      </c>
      <c r="D15">
        <f t="shared" si="1"/>
        <v>34122</v>
      </c>
    </row>
    <row r="16" spans="1:4" x14ac:dyDescent="0.35">
      <c r="A16" s="14" t="s">
        <v>28</v>
      </c>
      <c r="B16">
        <v>4967</v>
      </c>
      <c r="C16" t="str">
        <f t="shared" si="0"/>
        <v>Himachal Pradesh</v>
      </c>
      <c r="D16">
        <f t="shared" si="1"/>
        <v>4967</v>
      </c>
    </row>
    <row r="17" spans="1:4" x14ac:dyDescent="0.35">
      <c r="A17" s="14" t="s">
        <v>30</v>
      </c>
      <c r="B17">
        <v>10231</v>
      </c>
      <c r="C17" t="str">
        <f t="shared" si="0"/>
        <v>Jammu and Kashmir</v>
      </c>
      <c r="D17">
        <f t="shared" si="1"/>
        <v>10231</v>
      </c>
    </row>
    <row r="18" spans="1:4" x14ac:dyDescent="0.35">
      <c r="A18" s="14" t="s">
        <v>32</v>
      </c>
      <c r="B18">
        <v>28018</v>
      </c>
      <c r="C18" t="str">
        <f t="shared" si="0"/>
        <v>Jharkhand</v>
      </c>
      <c r="D18">
        <f t="shared" si="1"/>
        <v>28018</v>
      </c>
    </row>
    <row r="19" spans="1:4" x14ac:dyDescent="0.35">
      <c r="A19" s="14" t="s">
        <v>34</v>
      </c>
      <c r="B19">
        <v>109668</v>
      </c>
      <c r="C19" t="str">
        <f t="shared" si="0"/>
        <v>Karnataka</v>
      </c>
      <c r="D19">
        <f t="shared" si="1"/>
        <v>109668</v>
      </c>
    </row>
    <row r="20" spans="1:4" x14ac:dyDescent="0.35">
      <c r="A20" s="14" t="s">
        <v>36</v>
      </c>
      <c r="B20">
        <v>8547</v>
      </c>
      <c r="C20" t="str">
        <f t="shared" si="0"/>
        <v>Kerala</v>
      </c>
      <c r="D20">
        <f t="shared" si="1"/>
        <v>8547</v>
      </c>
    </row>
    <row r="21" spans="1:4" x14ac:dyDescent="0.35">
      <c r="A21" s="14" t="s">
        <v>78</v>
      </c>
      <c r="B21">
        <v>582</v>
      </c>
      <c r="C21" t="str">
        <f t="shared" si="0"/>
        <v>Ladakh</v>
      </c>
      <c r="D21">
        <f t="shared" si="1"/>
        <v>582</v>
      </c>
    </row>
    <row r="22" spans="1:4" x14ac:dyDescent="0.35">
      <c r="A22" s="14" t="s">
        <v>38</v>
      </c>
      <c r="B22">
        <v>79466</v>
      </c>
      <c r="C22" t="str">
        <f t="shared" si="0"/>
        <v>Madhya Pradesh</v>
      </c>
      <c r="D22">
        <f t="shared" si="1"/>
        <v>79466</v>
      </c>
    </row>
    <row r="23" spans="1:4" x14ac:dyDescent="0.35">
      <c r="A23" s="14" t="s">
        <v>40</v>
      </c>
      <c r="B23">
        <v>499395</v>
      </c>
      <c r="C23" t="str">
        <f t="shared" si="0"/>
        <v>Maharashtra</v>
      </c>
      <c r="D23">
        <f t="shared" si="1"/>
        <v>499395</v>
      </c>
    </row>
    <row r="24" spans="1:4" x14ac:dyDescent="0.35">
      <c r="A24" s="14" t="s">
        <v>42</v>
      </c>
      <c r="B24">
        <v>1674</v>
      </c>
      <c r="C24" t="str">
        <f t="shared" si="0"/>
        <v>Manipur</v>
      </c>
      <c r="D24">
        <f t="shared" si="1"/>
        <v>1674</v>
      </c>
    </row>
    <row r="25" spans="1:4" x14ac:dyDescent="0.35">
      <c r="A25" s="14" t="s">
        <v>44</v>
      </c>
      <c r="B25">
        <v>456</v>
      </c>
      <c r="C25" t="str">
        <f t="shared" si="0"/>
        <v>Meghalaya</v>
      </c>
      <c r="D25">
        <f t="shared" si="1"/>
        <v>456</v>
      </c>
    </row>
    <row r="26" spans="1:4" x14ac:dyDescent="0.35">
      <c r="A26" s="14" t="s">
        <v>46</v>
      </c>
      <c r="B26">
        <v>3229</v>
      </c>
      <c r="C26" t="str">
        <f t="shared" si="0"/>
        <v>Mizoram</v>
      </c>
      <c r="D26">
        <f t="shared" si="1"/>
        <v>3229</v>
      </c>
    </row>
    <row r="27" spans="1:4" x14ac:dyDescent="0.35">
      <c r="A27" s="14" t="s">
        <v>48</v>
      </c>
      <c r="B27">
        <v>711</v>
      </c>
      <c r="C27" t="str">
        <f t="shared" si="0"/>
        <v>Nagaland</v>
      </c>
      <c r="D27">
        <f t="shared" si="1"/>
        <v>711</v>
      </c>
    </row>
    <row r="28" spans="1:4" x14ac:dyDescent="0.35">
      <c r="A28" s="14" t="s">
        <v>50</v>
      </c>
      <c r="B28">
        <v>36421</v>
      </c>
      <c r="C28" t="str">
        <f t="shared" si="0"/>
        <v>Odisha</v>
      </c>
      <c r="D28">
        <f t="shared" si="1"/>
        <v>36421</v>
      </c>
    </row>
    <row r="29" spans="1:4" x14ac:dyDescent="0.35">
      <c r="A29" s="14" t="s">
        <v>52</v>
      </c>
      <c r="B29">
        <v>2508</v>
      </c>
      <c r="C29" t="str">
        <f t="shared" si="0"/>
        <v>Puducherry</v>
      </c>
      <c r="D29">
        <f t="shared" si="1"/>
        <v>2508</v>
      </c>
    </row>
    <row r="30" spans="1:4" x14ac:dyDescent="0.35">
      <c r="A30" s="14" t="s">
        <v>54</v>
      </c>
      <c r="B30">
        <v>34432</v>
      </c>
      <c r="C30" t="str">
        <f t="shared" si="0"/>
        <v>Punjab</v>
      </c>
      <c r="D30">
        <f t="shared" si="1"/>
        <v>34432</v>
      </c>
    </row>
    <row r="31" spans="1:4" x14ac:dyDescent="0.35">
      <c r="A31" s="14" t="s">
        <v>56</v>
      </c>
      <c r="B31">
        <v>93900</v>
      </c>
      <c r="C31" t="str">
        <f t="shared" si="0"/>
        <v>Rajasthan</v>
      </c>
      <c r="D31">
        <f t="shared" si="1"/>
        <v>93900</v>
      </c>
    </row>
    <row r="32" spans="1:4" x14ac:dyDescent="0.35">
      <c r="A32" s="14" t="s">
        <v>58</v>
      </c>
      <c r="B32">
        <v>699</v>
      </c>
      <c r="C32" t="str">
        <f t="shared" si="0"/>
        <v>Sikkim</v>
      </c>
      <c r="D32">
        <f t="shared" si="1"/>
        <v>699</v>
      </c>
    </row>
    <row r="33" spans="1:4" x14ac:dyDescent="0.35">
      <c r="A33" s="14" t="s">
        <v>60</v>
      </c>
      <c r="B33">
        <v>278232</v>
      </c>
      <c r="C33" t="str">
        <f t="shared" si="0"/>
        <v>Tamil Nadu</v>
      </c>
      <c r="D33">
        <f t="shared" si="1"/>
        <v>278232</v>
      </c>
    </row>
    <row r="34" spans="1:4" x14ac:dyDescent="0.35">
      <c r="A34" s="14" t="s">
        <v>62</v>
      </c>
      <c r="B34">
        <v>41139</v>
      </c>
      <c r="C34" t="str">
        <f t="shared" si="0"/>
        <v>Telangana</v>
      </c>
      <c r="D34">
        <f t="shared" si="1"/>
        <v>41139</v>
      </c>
    </row>
    <row r="35" spans="1:4" x14ac:dyDescent="0.35">
      <c r="A35" s="14" t="s">
        <v>64</v>
      </c>
      <c r="B35">
        <v>3251</v>
      </c>
      <c r="C35" t="str">
        <f t="shared" si="0"/>
        <v>Tripura</v>
      </c>
      <c r="D35">
        <f t="shared" si="1"/>
        <v>3251</v>
      </c>
    </row>
    <row r="36" spans="1:4" x14ac:dyDescent="0.35">
      <c r="A36" s="14" t="s">
        <v>66</v>
      </c>
      <c r="B36">
        <v>210032</v>
      </c>
      <c r="C36" t="str">
        <f t="shared" si="0"/>
        <v>Uttar Pradesh</v>
      </c>
      <c r="D36">
        <f t="shared" si="1"/>
        <v>210032</v>
      </c>
    </row>
    <row r="37" spans="1:4" x14ac:dyDescent="0.35">
      <c r="A37" s="14" t="s">
        <v>68</v>
      </c>
      <c r="B37">
        <v>14030</v>
      </c>
      <c r="C37" t="str">
        <f t="shared" si="0"/>
        <v>Uttarakhand</v>
      </c>
      <c r="D37">
        <f t="shared" si="1"/>
        <v>14030</v>
      </c>
    </row>
    <row r="38" spans="1:4" x14ac:dyDescent="0.35">
      <c r="A38" s="14" t="s">
        <v>70</v>
      </c>
      <c r="B38">
        <v>17238</v>
      </c>
      <c r="C38" t="str">
        <f t="shared" si="0"/>
        <v>West Bengal</v>
      </c>
      <c r="D38">
        <f t="shared" si="1"/>
        <v>17238</v>
      </c>
    </row>
    <row r="39" spans="1:4" x14ac:dyDescent="0.35">
      <c r="A39" s="14" t="s">
        <v>92</v>
      </c>
      <c r="B39">
        <v>1883161</v>
      </c>
      <c r="C39" t="str">
        <f t="shared" si="0"/>
        <v>Grand Total</v>
      </c>
      <c r="D39">
        <f t="shared" si="1"/>
        <v>1883161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EA0D-F836-40AA-8CCA-963C76E6C6BD}">
  <dimension ref="A3:D12"/>
  <sheetViews>
    <sheetView workbookViewId="0">
      <selection activeCell="A10" sqref="A10"/>
    </sheetView>
  </sheetViews>
  <sheetFormatPr defaultRowHeight="14.5" x14ac:dyDescent="0.35"/>
  <cols>
    <col min="1" max="1" width="12.453125" bestFit="1" customWidth="1"/>
    <col min="2" max="2" width="22.6328125" bestFit="1" customWidth="1"/>
    <col min="3" max="3" width="32.453125" bestFit="1" customWidth="1"/>
    <col min="4" max="4" width="9.7265625" bestFit="1" customWidth="1"/>
  </cols>
  <sheetData>
    <row r="3" spans="1:4" x14ac:dyDescent="0.35">
      <c r="A3" s="13" t="s">
        <v>91</v>
      </c>
      <c r="B3" t="s">
        <v>108</v>
      </c>
      <c r="C3" t="s">
        <v>119</v>
      </c>
      <c r="D3" t="s">
        <v>118</v>
      </c>
    </row>
    <row r="4" spans="1:4" x14ac:dyDescent="0.35">
      <c r="A4" s="14" t="s">
        <v>117</v>
      </c>
      <c r="B4" s="19">
        <v>575229</v>
      </c>
      <c r="C4" t="str">
        <f>A4</f>
        <v>West</v>
      </c>
      <c r="D4">
        <f>B4</f>
        <v>575229</v>
      </c>
    </row>
    <row r="5" spans="1:4" x14ac:dyDescent="0.35">
      <c r="A5" s="14" t="s">
        <v>112</v>
      </c>
      <c r="B5" s="19">
        <v>493489</v>
      </c>
      <c r="C5" t="str">
        <f t="shared" ref="C5:C12" si="0">A5</f>
        <v>South</v>
      </c>
      <c r="D5">
        <f t="shared" ref="D5:D12" si="1">B5</f>
        <v>493489</v>
      </c>
    </row>
    <row r="6" spans="1:4" x14ac:dyDescent="0.35">
      <c r="A6" s="14" t="s">
        <v>116</v>
      </c>
      <c r="B6" s="19">
        <v>345994</v>
      </c>
      <c r="C6" t="str">
        <f t="shared" si="0"/>
        <v>Central</v>
      </c>
      <c r="D6">
        <f t="shared" si="1"/>
        <v>345994</v>
      </c>
    </row>
    <row r="7" spans="1:4" x14ac:dyDescent="0.35">
      <c r="A7" s="14" t="s">
        <v>115</v>
      </c>
      <c r="B7" s="19">
        <v>284568</v>
      </c>
      <c r="C7" t="str">
        <f t="shared" si="0"/>
        <v>North</v>
      </c>
      <c r="D7">
        <f t="shared" si="1"/>
        <v>284568</v>
      </c>
    </row>
    <row r="8" spans="1:4" x14ac:dyDescent="0.35">
      <c r="A8" s="14" t="s">
        <v>114</v>
      </c>
      <c r="B8" s="19">
        <v>159909</v>
      </c>
      <c r="C8" t="str">
        <f t="shared" si="0"/>
        <v>East</v>
      </c>
      <c r="D8">
        <f t="shared" si="1"/>
        <v>159909</v>
      </c>
    </row>
    <row r="9" spans="1:4" x14ac:dyDescent="0.35">
      <c r="A9" s="14" t="s">
        <v>113</v>
      </c>
      <c r="B9" s="19">
        <v>20306</v>
      </c>
      <c r="C9" t="str">
        <f t="shared" si="0"/>
        <v>North-East</v>
      </c>
      <c r="D9">
        <f t="shared" si="1"/>
        <v>20306</v>
      </c>
    </row>
    <row r="10" spans="1:4" x14ac:dyDescent="0.35">
      <c r="A10" s="14" t="s">
        <v>132</v>
      </c>
      <c r="B10" s="19">
        <v>3666</v>
      </c>
      <c r="C10" t="str">
        <f t="shared" si="0"/>
        <v>Islands</v>
      </c>
      <c r="D10">
        <f t="shared" si="1"/>
        <v>3666</v>
      </c>
    </row>
    <row r="11" spans="1:4" x14ac:dyDescent="0.35">
      <c r="A11" s="14" t="s">
        <v>93</v>
      </c>
      <c r="B11" s="19"/>
      <c r="C11" t="str">
        <f t="shared" si="0"/>
        <v>(blank)</v>
      </c>
      <c r="D11">
        <f t="shared" si="1"/>
        <v>0</v>
      </c>
    </row>
    <row r="12" spans="1:4" x14ac:dyDescent="0.35">
      <c r="A12" s="14" t="s">
        <v>92</v>
      </c>
      <c r="B12" s="19">
        <v>1883161</v>
      </c>
      <c r="C12" t="str">
        <f t="shared" si="0"/>
        <v>Grand Total</v>
      </c>
      <c r="D12">
        <f t="shared" si="1"/>
        <v>1883161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302E-71A5-41D0-8B87-B9C5FB0A65EE}">
  <dimension ref="A1:E176"/>
  <sheetViews>
    <sheetView zoomScale="83" workbookViewId="0">
      <selection activeCell="E40" sqref="E40"/>
    </sheetView>
  </sheetViews>
  <sheetFormatPr defaultRowHeight="14.5" x14ac:dyDescent="0.35"/>
  <cols>
    <col min="1" max="1" width="8.1796875" bestFit="1" customWidth="1"/>
    <col min="2" max="2" width="32.453125" bestFit="1" customWidth="1"/>
    <col min="3" max="3" width="35.36328125" bestFit="1" customWidth="1"/>
    <col min="4" max="4" width="18.90625" bestFit="1" customWidth="1"/>
    <col min="5" max="5" width="9.54296875" bestFit="1" customWidth="1"/>
  </cols>
  <sheetData>
    <row r="1" spans="1:5" x14ac:dyDescent="0.35">
      <c r="A1" t="s">
        <v>0</v>
      </c>
      <c r="B1" t="s">
        <v>1</v>
      </c>
      <c r="C1" t="s">
        <v>106</v>
      </c>
      <c r="D1" t="s">
        <v>107</v>
      </c>
      <c r="E1" t="s">
        <v>111</v>
      </c>
    </row>
    <row r="2" spans="1:5" x14ac:dyDescent="0.35">
      <c r="A2">
        <v>1</v>
      </c>
      <c r="B2" t="s">
        <v>4</v>
      </c>
      <c r="C2" t="s">
        <v>86</v>
      </c>
      <c r="D2">
        <v>17757</v>
      </c>
      <c r="E2" t="s">
        <v>112</v>
      </c>
    </row>
    <row r="3" spans="1:5" x14ac:dyDescent="0.35">
      <c r="A3">
        <v>1</v>
      </c>
      <c r="B3" t="s">
        <v>4</v>
      </c>
      <c r="C3" t="s">
        <v>87</v>
      </c>
      <c r="D3">
        <v>40</v>
      </c>
      <c r="E3" t="s">
        <v>112</v>
      </c>
    </row>
    <row r="4" spans="1:5" x14ac:dyDescent="0.35">
      <c r="A4">
        <v>1</v>
      </c>
      <c r="B4" t="s">
        <v>4</v>
      </c>
      <c r="C4" t="s">
        <v>88</v>
      </c>
      <c r="D4">
        <v>17797</v>
      </c>
      <c r="E4" t="s">
        <v>112</v>
      </c>
    </row>
    <row r="5" spans="1:5" x14ac:dyDescent="0.35">
      <c r="A5">
        <v>1</v>
      </c>
      <c r="B5" t="s">
        <v>4</v>
      </c>
      <c r="C5" t="s">
        <v>89</v>
      </c>
      <c r="D5">
        <v>2</v>
      </c>
      <c r="E5" t="s">
        <v>112</v>
      </c>
    </row>
    <row r="6" spans="1:5" x14ac:dyDescent="0.35">
      <c r="A6">
        <v>1</v>
      </c>
      <c r="B6" t="s">
        <v>4</v>
      </c>
      <c r="C6" t="s">
        <v>90</v>
      </c>
      <c r="D6">
        <v>17799</v>
      </c>
      <c r="E6" t="s">
        <v>112</v>
      </c>
    </row>
    <row r="7" spans="1:5" x14ac:dyDescent="0.35">
      <c r="A7">
        <v>2</v>
      </c>
      <c r="B7" t="s">
        <v>6</v>
      </c>
      <c r="C7" t="s">
        <v>86</v>
      </c>
      <c r="D7">
        <v>603</v>
      </c>
      <c r="E7" t="s">
        <v>132</v>
      </c>
    </row>
    <row r="8" spans="1:5" x14ac:dyDescent="0.35">
      <c r="A8">
        <v>2</v>
      </c>
      <c r="B8" t="s">
        <v>6</v>
      </c>
      <c r="C8" t="s">
        <v>87</v>
      </c>
      <c r="D8">
        <v>0</v>
      </c>
      <c r="E8" t="s">
        <v>132</v>
      </c>
    </row>
    <row r="9" spans="1:5" x14ac:dyDescent="0.35">
      <c r="A9">
        <v>2</v>
      </c>
      <c r="B9" t="s">
        <v>6</v>
      </c>
      <c r="C9" t="s">
        <v>88</v>
      </c>
      <c r="D9">
        <v>603</v>
      </c>
      <c r="E9" t="s">
        <v>132</v>
      </c>
    </row>
    <row r="10" spans="1:5" x14ac:dyDescent="0.35">
      <c r="A10">
        <v>2</v>
      </c>
      <c r="B10" t="s">
        <v>6</v>
      </c>
      <c r="C10" t="s">
        <v>89</v>
      </c>
      <c r="D10">
        <v>6</v>
      </c>
      <c r="E10" t="s">
        <v>132</v>
      </c>
    </row>
    <row r="11" spans="1:5" x14ac:dyDescent="0.35">
      <c r="A11">
        <v>2</v>
      </c>
      <c r="B11" t="s">
        <v>6</v>
      </c>
      <c r="C11" t="s">
        <v>90</v>
      </c>
      <c r="D11">
        <v>609</v>
      </c>
      <c r="E11" t="s">
        <v>132</v>
      </c>
    </row>
    <row r="12" spans="1:5" x14ac:dyDescent="0.35">
      <c r="A12">
        <v>3</v>
      </c>
      <c r="B12" t="s">
        <v>8</v>
      </c>
      <c r="C12" t="s">
        <v>86</v>
      </c>
      <c r="D12">
        <v>46</v>
      </c>
      <c r="E12" t="s">
        <v>113</v>
      </c>
    </row>
    <row r="13" spans="1:5" x14ac:dyDescent="0.35">
      <c r="A13">
        <v>3</v>
      </c>
      <c r="B13" t="s">
        <v>8</v>
      </c>
      <c r="C13" t="s">
        <v>87</v>
      </c>
      <c r="D13">
        <v>0</v>
      </c>
      <c r="E13" t="s">
        <v>113</v>
      </c>
    </row>
    <row r="14" spans="1:5" x14ac:dyDescent="0.35">
      <c r="A14">
        <v>3</v>
      </c>
      <c r="B14" t="s">
        <v>8</v>
      </c>
      <c r="C14" t="s">
        <v>88</v>
      </c>
      <c r="D14">
        <v>46</v>
      </c>
      <c r="E14" t="s">
        <v>113</v>
      </c>
    </row>
    <row r="15" spans="1:5" x14ac:dyDescent="0.35">
      <c r="A15">
        <v>3</v>
      </c>
      <c r="B15" t="s">
        <v>8</v>
      </c>
      <c r="C15" t="s">
        <v>89</v>
      </c>
      <c r="D15">
        <v>43</v>
      </c>
      <c r="E15" t="s">
        <v>113</v>
      </c>
    </row>
    <row r="16" spans="1:5" x14ac:dyDescent="0.35">
      <c r="A16">
        <v>3</v>
      </c>
      <c r="B16" t="s">
        <v>8</v>
      </c>
      <c r="C16" t="s">
        <v>90</v>
      </c>
      <c r="D16">
        <v>89</v>
      </c>
      <c r="E16" t="s">
        <v>113</v>
      </c>
    </row>
    <row r="17" spans="1:5" x14ac:dyDescent="0.35">
      <c r="A17">
        <v>4</v>
      </c>
      <c r="B17" t="s">
        <v>10</v>
      </c>
      <c r="C17" t="s">
        <v>86</v>
      </c>
      <c r="D17">
        <v>3286</v>
      </c>
      <c r="E17" t="s">
        <v>113</v>
      </c>
    </row>
    <row r="18" spans="1:5" x14ac:dyDescent="0.35">
      <c r="A18">
        <v>4</v>
      </c>
      <c r="B18" t="s">
        <v>10</v>
      </c>
      <c r="C18" t="s">
        <v>87</v>
      </c>
      <c r="D18">
        <v>64</v>
      </c>
      <c r="E18" t="s">
        <v>113</v>
      </c>
    </row>
    <row r="19" spans="1:5" x14ac:dyDescent="0.35">
      <c r="A19">
        <v>4</v>
      </c>
      <c r="B19" t="s">
        <v>10</v>
      </c>
      <c r="C19" t="s">
        <v>88</v>
      </c>
      <c r="D19">
        <v>3350</v>
      </c>
      <c r="E19" t="s">
        <v>113</v>
      </c>
    </row>
    <row r="20" spans="1:5" x14ac:dyDescent="0.35">
      <c r="A20">
        <v>4</v>
      </c>
      <c r="B20" t="s">
        <v>10</v>
      </c>
      <c r="C20" t="s">
        <v>89</v>
      </c>
      <c r="D20">
        <v>6</v>
      </c>
      <c r="E20" t="s">
        <v>113</v>
      </c>
    </row>
    <row r="21" spans="1:5" x14ac:dyDescent="0.35">
      <c r="A21">
        <v>4</v>
      </c>
      <c r="B21" t="s">
        <v>10</v>
      </c>
      <c r="C21" t="s">
        <v>90</v>
      </c>
      <c r="D21">
        <v>3356</v>
      </c>
      <c r="E21" t="s">
        <v>113</v>
      </c>
    </row>
    <row r="22" spans="1:5" x14ac:dyDescent="0.35">
      <c r="A22">
        <v>5</v>
      </c>
      <c r="B22" t="s">
        <v>12</v>
      </c>
      <c r="C22" t="s">
        <v>86</v>
      </c>
      <c r="D22">
        <v>16124</v>
      </c>
      <c r="E22" t="s">
        <v>114</v>
      </c>
    </row>
    <row r="23" spans="1:5" x14ac:dyDescent="0.35">
      <c r="A23">
        <v>5</v>
      </c>
      <c r="B23" t="s">
        <v>12</v>
      </c>
      <c r="C23" t="s">
        <v>87</v>
      </c>
      <c r="D23">
        <v>4754</v>
      </c>
      <c r="E23" t="s">
        <v>114</v>
      </c>
    </row>
    <row r="24" spans="1:5" x14ac:dyDescent="0.35">
      <c r="A24">
        <v>5</v>
      </c>
      <c r="B24" t="s">
        <v>12</v>
      </c>
      <c r="C24" t="s">
        <v>88</v>
      </c>
      <c r="D24">
        <v>20878</v>
      </c>
      <c r="E24" t="s">
        <v>114</v>
      </c>
    </row>
    <row r="25" spans="1:5" x14ac:dyDescent="0.35">
      <c r="A25">
        <v>5</v>
      </c>
      <c r="B25" t="s">
        <v>12</v>
      </c>
      <c r="C25" t="s">
        <v>89</v>
      </c>
      <c r="D25">
        <v>7799</v>
      </c>
      <c r="E25" t="s">
        <v>114</v>
      </c>
    </row>
    <row r="26" spans="1:5" x14ac:dyDescent="0.35">
      <c r="A26">
        <v>5</v>
      </c>
      <c r="B26" t="s">
        <v>12</v>
      </c>
      <c r="C26" t="s">
        <v>90</v>
      </c>
      <c r="D26">
        <v>28677</v>
      </c>
      <c r="E26" t="s">
        <v>114</v>
      </c>
    </row>
    <row r="27" spans="1:5" x14ac:dyDescent="0.35">
      <c r="A27">
        <v>6</v>
      </c>
      <c r="B27" t="s">
        <v>14</v>
      </c>
      <c r="C27" t="s">
        <v>86</v>
      </c>
      <c r="D27">
        <v>2512</v>
      </c>
      <c r="E27" t="s">
        <v>115</v>
      </c>
    </row>
    <row r="28" spans="1:5" x14ac:dyDescent="0.35">
      <c r="A28">
        <v>6</v>
      </c>
      <c r="B28" t="s">
        <v>14</v>
      </c>
      <c r="C28" t="s">
        <v>87</v>
      </c>
      <c r="D28">
        <v>0</v>
      </c>
      <c r="E28" t="s">
        <v>115</v>
      </c>
    </row>
    <row r="29" spans="1:5" x14ac:dyDescent="0.35">
      <c r="A29">
        <v>6</v>
      </c>
      <c r="B29" t="s">
        <v>14</v>
      </c>
      <c r="C29" t="s">
        <v>88</v>
      </c>
      <c r="D29">
        <v>2512</v>
      </c>
      <c r="E29" t="s">
        <v>115</v>
      </c>
    </row>
    <row r="30" spans="1:5" x14ac:dyDescent="0.35">
      <c r="A30">
        <v>6</v>
      </c>
      <c r="B30" t="s">
        <v>14</v>
      </c>
      <c r="C30" t="s">
        <v>89</v>
      </c>
      <c r="D30">
        <v>0</v>
      </c>
      <c r="E30" t="s">
        <v>115</v>
      </c>
    </row>
    <row r="31" spans="1:5" x14ac:dyDescent="0.35">
      <c r="A31">
        <v>6</v>
      </c>
      <c r="B31" t="s">
        <v>14</v>
      </c>
      <c r="C31" t="s">
        <v>90</v>
      </c>
      <c r="D31">
        <v>2512</v>
      </c>
      <c r="E31" t="s">
        <v>115</v>
      </c>
    </row>
    <row r="32" spans="1:5" x14ac:dyDescent="0.35">
      <c r="A32">
        <v>7</v>
      </c>
      <c r="B32" t="s">
        <v>16</v>
      </c>
      <c r="C32" t="s">
        <v>86</v>
      </c>
      <c r="D32">
        <v>18832</v>
      </c>
      <c r="E32" t="s">
        <v>116</v>
      </c>
    </row>
    <row r="33" spans="1:5" x14ac:dyDescent="0.35">
      <c r="A33">
        <v>7</v>
      </c>
      <c r="B33" t="s">
        <v>16</v>
      </c>
      <c r="C33" t="s">
        <v>87</v>
      </c>
      <c r="D33">
        <v>0</v>
      </c>
      <c r="E33" t="s">
        <v>116</v>
      </c>
    </row>
    <row r="34" spans="1:5" x14ac:dyDescent="0.35">
      <c r="A34">
        <v>7</v>
      </c>
      <c r="B34" t="s">
        <v>16</v>
      </c>
      <c r="C34" t="s">
        <v>88</v>
      </c>
      <c r="D34">
        <v>18832</v>
      </c>
      <c r="E34" t="s">
        <v>116</v>
      </c>
    </row>
    <row r="35" spans="1:5" x14ac:dyDescent="0.35">
      <c r="A35">
        <v>7</v>
      </c>
      <c r="B35" t="s">
        <v>16</v>
      </c>
      <c r="C35" t="s">
        <v>89</v>
      </c>
      <c r="D35">
        <v>0</v>
      </c>
      <c r="E35" t="s">
        <v>116</v>
      </c>
    </row>
    <row r="36" spans="1:5" x14ac:dyDescent="0.35">
      <c r="A36">
        <v>7</v>
      </c>
      <c r="B36" t="s">
        <v>16</v>
      </c>
      <c r="C36" t="s">
        <v>90</v>
      </c>
      <c r="D36">
        <v>18832</v>
      </c>
      <c r="E36" t="s">
        <v>116</v>
      </c>
    </row>
    <row r="37" spans="1:5" x14ac:dyDescent="0.35">
      <c r="A37">
        <v>8</v>
      </c>
      <c r="B37" t="s">
        <v>82</v>
      </c>
      <c r="C37" t="s">
        <v>86</v>
      </c>
      <c r="D37">
        <v>615</v>
      </c>
      <c r="E37" t="s">
        <v>132</v>
      </c>
    </row>
    <row r="38" spans="1:5" x14ac:dyDescent="0.35">
      <c r="A38">
        <v>8</v>
      </c>
      <c r="B38" t="s">
        <v>82</v>
      </c>
      <c r="C38" t="s">
        <v>87</v>
      </c>
      <c r="D38">
        <v>0</v>
      </c>
      <c r="E38" t="s">
        <v>132</v>
      </c>
    </row>
    <row r="39" spans="1:5" x14ac:dyDescent="0.35">
      <c r="A39">
        <v>8</v>
      </c>
      <c r="B39" t="s">
        <v>82</v>
      </c>
      <c r="C39" t="s">
        <v>88</v>
      </c>
      <c r="D39">
        <v>615</v>
      </c>
      <c r="E39" t="s">
        <v>132</v>
      </c>
    </row>
    <row r="40" spans="1:5" x14ac:dyDescent="0.35">
      <c r="A40">
        <v>8</v>
      </c>
      <c r="B40" t="s">
        <v>82</v>
      </c>
      <c r="C40" t="s">
        <v>89</v>
      </c>
      <c r="D40">
        <v>0</v>
      </c>
      <c r="E40" t="s">
        <v>132</v>
      </c>
    </row>
    <row r="41" spans="1:5" x14ac:dyDescent="0.35">
      <c r="A41">
        <v>8</v>
      </c>
      <c r="B41" t="s">
        <v>82</v>
      </c>
      <c r="C41" t="s">
        <v>90</v>
      </c>
      <c r="D41">
        <v>615</v>
      </c>
      <c r="E41" t="s">
        <v>132</v>
      </c>
    </row>
    <row r="42" spans="1:5" x14ac:dyDescent="0.35">
      <c r="A42">
        <v>9</v>
      </c>
      <c r="B42" t="s">
        <v>20</v>
      </c>
      <c r="C42" t="s">
        <v>86</v>
      </c>
      <c r="D42">
        <v>24186</v>
      </c>
      <c r="E42" t="s">
        <v>115</v>
      </c>
    </row>
    <row r="43" spans="1:5" x14ac:dyDescent="0.35">
      <c r="A43">
        <v>9</v>
      </c>
      <c r="B43" t="s">
        <v>20</v>
      </c>
      <c r="C43" t="s">
        <v>87</v>
      </c>
      <c r="D43">
        <v>4070</v>
      </c>
      <c r="E43" t="s">
        <v>115</v>
      </c>
    </row>
    <row r="44" spans="1:5" x14ac:dyDescent="0.35">
      <c r="A44">
        <v>9</v>
      </c>
      <c r="B44" t="s">
        <v>20</v>
      </c>
      <c r="C44" t="s">
        <v>88</v>
      </c>
      <c r="D44">
        <v>28256</v>
      </c>
      <c r="E44" t="s">
        <v>115</v>
      </c>
    </row>
    <row r="45" spans="1:5" x14ac:dyDescent="0.35">
      <c r="A45">
        <v>9</v>
      </c>
      <c r="B45" t="s">
        <v>20</v>
      </c>
      <c r="C45" t="s">
        <v>89</v>
      </c>
      <c r="D45">
        <v>0</v>
      </c>
      <c r="E45" t="s">
        <v>115</v>
      </c>
    </row>
    <row r="46" spans="1:5" x14ac:dyDescent="0.35">
      <c r="A46">
        <v>9</v>
      </c>
      <c r="B46" t="s">
        <v>20</v>
      </c>
      <c r="C46" t="s">
        <v>90</v>
      </c>
      <c r="D46">
        <v>28256</v>
      </c>
      <c r="E46" t="s">
        <v>115</v>
      </c>
    </row>
    <row r="47" spans="1:5" x14ac:dyDescent="0.35">
      <c r="A47">
        <v>10</v>
      </c>
      <c r="B47" t="s">
        <v>22</v>
      </c>
      <c r="C47" t="s">
        <v>86</v>
      </c>
      <c r="D47">
        <v>577</v>
      </c>
      <c r="E47" t="s">
        <v>117</v>
      </c>
    </row>
    <row r="48" spans="1:5" x14ac:dyDescent="0.35">
      <c r="A48">
        <v>10</v>
      </c>
      <c r="B48" t="s">
        <v>22</v>
      </c>
      <c r="C48" t="s">
        <v>87</v>
      </c>
      <c r="D48">
        <v>270</v>
      </c>
      <c r="E48" t="s">
        <v>117</v>
      </c>
    </row>
    <row r="49" spans="1:5" x14ac:dyDescent="0.35">
      <c r="A49">
        <v>10</v>
      </c>
      <c r="B49" t="s">
        <v>22</v>
      </c>
      <c r="C49" t="s">
        <v>88</v>
      </c>
      <c r="D49">
        <v>847</v>
      </c>
      <c r="E49" t="s">
        <v>117</v>
      </c>
    </row>
    <row r="50" spans="1:5" x14ac:dyDescent="0.35">
      <c r="A50">
        <v>10</v>
      </c>
      <c r="B50" t="s">
        <v>22</v>
      </c>
      <c r="C50" t="s">
        <v>89</v>
      </c>
      <c r="D50">
        <v>423</v>
      </c>
      <c r="E50" t="s">
        <v>117</v>
      </c>
    </row>
    <row r="51" spans="1:5" x14ac:dyDescent="0.35">
      <c r="A51">
        <v>10</v>
      </c>
      <c r="B51" t="s">
        <v>22</v>
      </c>
      <c r="C51" t="s">
        <v>90</v>
      </c>
      <c r="D51">
        <v>1270</v>
      </c>
      <c r="E51" t="s">
        <v>117</v>
      </c>
    </row>
    <row r="52" spans="1:5" x14ac:dyDescent="0.35">
      <c r="A52">
        <v>11</v>
      </c>
      <c r="B52" t="s">
        <v>24</v>
      </c>
      <c r="C52" t="s">
        <v>86</v>
      </c>
      <c r="D52">
        <v>24149</v>
      </c>
      <c r="E52" t="s">
        <v>117</v>
      </c>
    </row>
    <row r="53" spans="1:5" x14ac:dyDescent="0.35">
      <c r="A53">
        <v>11</v>
      </c>
      <c r="B53" t="s">
        <v>24</v>
      </c>
      <c r="C53" t="s">
        <v>87</v>
      </c>
      <c r="D53">
        <v>0</v>
      </c>
      <c r="E53" t="s">
        <v>117</v>
      </c>
    </row>
    <row r="54" spans="1:5" x14ac:dyDescent="0.35">
      <c r="A54">
        <v>11</v>
      </c>
      <c r="B54" t="s">
        <v>24</v>
      </c>
      <c r="C54" t="s">
        <v>88</v>
      </c>
      <c r="D54">
        <v>24149</v>
      </c>
      <c r="E54" t="s">
        <v>117</v>
      </c>
    </row>
    <row r="55" spans="1:5" x14ac:dyDescent="0.35">
      <c r="A55">
        <v>11</v>
      </c>
      <c r="B55" t="s">
        <v>24</v>
      </c>
      <c r="C55" t="s">
        <v>89</v>
      </c>
      <c r="D55">
        <v>0</v>
      </c>
      <c r="E55" t="s">
        <v>117</v>
      </c>
    </row>
    <row r="56" spans="1:5" x14ac:dyDescent="0.35">
      <c r="A56">
        <v>11</v>
      </c>
      <c r="B56" t="s">
        <v>24</v>
      </c>
      <c r="C56" t="s">
        <v>90</v>
      </c>
      <c r="D56">
        <v>24149</v>
      </c>
      <c r="E56" t="s">
        <v>117</v>
      </c>
    </row>
    <row r="57" spans="1:5" x14ac:dyDescent="0.35">
      <c r="A57">
        <v>12</v>
      </c>
      <c r="B57" t="s">
        <v>26</v>
      </c>
      <c r="C57" t="s">
        <v>86</v>
      </c>
      <c r="D57">
        <v>10819</v>
      </c>
      <c r="E57" t="s">
        <v>115</v>
      </c>
    </row>
    <row r="58" spans="1:5" x14ac:dyDescent="0.35">
      <c r="A58">
        <v>12</v>
      </c>
      <c r="B58" t="s">
        <v>26</v>
      </c>
      <c r="C58" t="s">
        <v>87</v>
      </c>
      <c r="D58">
        <v>555</v>
      </c>
      <c r="E58" t="s">
        <v>115</v>
      </c>
    </row>
    <row r="59" spans="1:5" x14ac:dyDescent="0.35">
      <c r="A59">
        <v>12</v>
      </c>
      <c r="B59" t="s">
        <v>26</v>
      </c>
      <c r="C59" t="s">
        <v>88</v>
      </c>
      <c r="D59">
        <v>11374</v>
      </c>
      <c r="E59" t="s">
        <v>115</v>
      </c>
    </row>
    <row r="60" spans="1:5" x14ac:dyDescent="0.35">
      <c r="A60">
        <v>12</v>
      </c>
      <c r="B60" t="s">
        <v>26</v>
      </c>
      <c r="C60" t="s">
        <v>89</v>
      </c>
      <c r="D60">
        <v>0</v>
      </c>
      <c r="E60" t="s">
        <v>115</v>
      </c>
    </row>
    <row r="61" spans="1:5" x14ac:dyDescent="0.35">
      <c r="A61">
        <v>12</v>
      </c>
      <c r="B61" t="s">
        <v>26</v>
      </c>
      <c r="C61" t="s">
        <v>90</v>
      </c>
      <c r="D61">
        <v>11374</v>
      </c>
      <c r="E61" t="s">
        <v>115</v>
      </c>
    </row>
    <row r="62" spans="1:5" x14ac:dyDescent="0.35">
      <c r="A62">
        <v>13</v>
      </c>
      <c r="B62" t="s">
        <v>28</v>
      </c>
      <c r="C62" t="s">
        <v>86</v>
      </c>
      <c r="D62">
        <v>1445</v>
      </c>
      <c r="E62" t="s">
        <v>115</v>
      </c>
    </row>
    <row r="63" spans="1:5" x14ac:dyDescent="0.35">
      <c r="A63">
        <v>13</v>
      </c>
      <c r="B63" t="s">
        <v>28</v>
      </c>
      <c r="C63" t="s">
        <v>87</v>
      </c>
      <c r="D63">
        <v>122</v>
      </c>
      <c r="E63" t="s">
        <v>115</v>
      </c>
    </row>
    <row r="64" spans="1:5" x14ac:dyDescent="0.35">
      <c r="A64">
        <v>13</v>
      </c>
      <c r="B64" t="s">
        <v>28</v>
      </c>
      <c r="C64" t="s">
        <v>88</v>
      </c>
      <c r="D64">
        <v>1567</v>
      </c>
      <c r="E64" t="s">
        <v>115</v>
      </c>
    </row>
    <row r="65" spans="1:5" x14ac:dyDescent="0.35">
      <c r="A65">
        <v>13</v>
      </c>
      <c r="B65" t="s">
        <v>28</v>
      </c>
      <c r="C65" t="s">
        <v>89</v>
      </c>
      <c r="D65">
        <v>133</v>
      </c>
      <c r="E65" t="s">
        <v>115</v>
      </c>
    </row>
    <row r="66" spans="1:5" x14ac:dyDescent="0.35">
      <c r="A66">
        <v>13</v>
      </c>
      <c r="B66" t="s">
        <v>28</v>
      </c>
      <c r="C66" t="s">
        <v>90</v>
      </c>
      <c r="D66">
        <v>1700</v>
      </c>
      <c r="E66" t="s">
        <v>115</v>
      </c>
    </row>
    <row r="67" spans="1:5" x14ac:dyDescent="0.35">
      <c r="A67">
        <v>14</v>
      </c>
      <c r="B67" t="s">
        <v>30</v>
      </c>
      <c r="C67" t="s">
        <v>86</v>
      </c>
      <c r="D67">
        <v>2384</v>
      </c>
      <c r="E67" t="s">
        <v>115</v>
      </c>
    </row>
    <row r="68" spans="1:5" x14ac:dyDescent="0.35">
      <c r="A68">
        <v>14</v>
      </c>
      <c r="B68" t="s">
        <v>30</v>
      </c>
      <c r="C68" t="s">
        <v>87</v>
      </c>
      <c r="D68">
        <v>945</v>
      </c>
      <c r="E68" t="s">
        <v>115</v>
      </c>
    </row>
    <row r="69" spans="1:5" x14ac:dyDescent="0.35">
      <c r="A69">
        <v>14</v>
      </c>
      <c r="B69" t="s">
        <v>30</v>
      </c>
      <c r="C69" t="s">
        <v>88</v>
      </c>
      <c r="D69">
        <v>3329</v>
      </c>
      <c r="E69" t="s">
        <v>115</v>
      </c>
    </row>
    <row r="70" spans="1:5" x14ac:dyDescent="0.35">
      <c r="A70">
        <v>14</v>
      </c>
      <c r="B70" t="s">
        <v>30</v>
      </c>
      <c r="C70" t="s">
        <v>89</v>
      </c>
      <c r="D70">
        <v>122</v>
      </c>
      <c r="E70" t="s">
        <v>115</v>
      </c>
    </row>
    <row r="71" spans="1:5" x14ac:dyDescent="0.35">
      <c r="A71">
        <v>14</v>
      </c>
      <c r="B71" t="s">
        <v>30</v>
      </c>
      <c r="C71" t="s">
        <v>90</v>
      </c>
      <c r="D71">
        <v>3451</v>
      </c>
      <c r="E71" t="s">
        <v>115</v>
      </c>
    </row>
    <row r="72" spans="1:5" x14ac:dyDescent="0.35">
      <c r="A72">
        <v>15</v>
      </c>
      <c r="B72" t="s">
        <v>32</v>
      </c>
      <c r="C72" t="s">
        <v>86</v>
      </c>
      <c r="D72">
        <v>7551</v>
      </c>
      <c r="E72" t="s">
        <v>114</v>
      </c>
    </row>
    <row r="73" spans="1:5" x14ac:dyDescent="0.35">
      <c r="A73">
        <v>15</v>
      </c>
      <c r="B73" t="s">
        <v>32</v>
      </c>
      <c r="C73" t="s">
        <v>87</v>
      </c>
      <c r="D73">
        <v>1181</v>
      </c>
      <c r="E73" t="s">
        <v>114</v>
      </c>
    </row>
    <row r="74" spans="1:5" x14ac:dyDescent="0.35">
      <c r="A74">
        <v>15</v>
      </c>
      <c r="B74" t="s">
        <v>32</v>
      </c>
      <c r="C74" t="s">
        <v>88</v>
      </c>
      <c r="D74">
        <v>8732</v>
      </c>
      <c r="E74" t="s">
        <v>114</v>
      </c>
    </row>
    <row r="75" spans="1:5" x14ac:dyDescent="0.35">
      <c r="A75">
        <v>15</v>
      </c>
      <c r="B75" t="s">
        <v>32</v>
      </c>
      <c r="C75" t="s">
        <v>89</v>
      </c>
      <c r="D75">
        <v>911</v>
      </c>
      <c r="E75" t="s">
        <v>114</v>
      </c>
    </row>
    <row r="76" spans="1:5" x14ac:dyDescent="0.35">
      <c r="A76">
        <v>15</v>
      </c>
      <c r="B76" t="s">
        <v>32</v>
      </c>
      <c r="C76" t="s">
        <v>90</v>
      </c>
      <c r="D76">
        <v>9643</v>
      </c>
      <c r="E76" t="s">
        <v>114</v>
      </c>
    </row>
    <row r="77" spans="1:5" x14ac:dyDescent="0.35">
      <c r="A77">
        <v>16</v>
      </c>
      <c r="B77" t="s">
        <v>34</v>
      </c>
      <c r="C77" t="s">
        <v>86</v>
      </c>
      <c r="D77">
        <v>34387</v>
      </c>
      <c r="E77" t="s">
        <v>112</v>
      </c>
    </row>
    <row r="78" spans="1:5" x14ac:dyDescent="0.35">
      <c r="A78">
        <v>16</v>
      </c>
      <c r="B78" t="s">
        <v>34</v>
      </c>
      <c r="C78" t="s">
        <v>87</v>
      </c>
      <c r="D78">
        <v>2169</v>
      </c>
      <c r="E78" t="s">
        <v>112</v>
      </c>
    </row>
    <row r="79" spans="1:5" x14ac:dyDescent="0.35">
      <c r="A79">
        <v>16</v>
      </c>
      <c r="B79" t="s">
        <v>34</v>
      </c>
      <c r="C79" t="s">
        <v>88</v>
      </c>
      <c r="D79">
        <v>36556</v>
      </c>
      <c r="E79" t="s">
        <v>112</v>
      </c>
    </row>
    <row r="80" spans="1:5" x14ac:dyDescent="0.35">
      <c r="A80">
        <v>16</v>
      </c>
      <c r="B80" t="s">
        <v>34</v>
      </c>
      <c r="C80" t="s">
        <v>89</v>
      </c>
      <c r="D80">
        <v>0</v>
      </c>
      <c r="E80" t="s">
        <v>112</v>
      </c>
    </row>
    <row r="81" spans="1:5" x14ac:dyDescent="0.35">
      <c r="A81">
        <v>16</v>
      </c>
      <c r="B81" t="s">
        <v>34</v>
      </c>
      <c r="C81" t="s">
        <v>90</v>
      </c>
      <c r="D81">
        <v>36556</v>
      </c>
      <c r="E81" t="s">
        <v>112</v>
      </c>
    </row>
    <row r="82" spans="1:5" x14ac:dyDescent="0.35">
      <c r="A82">
        <v>17</v>
      </c>
      <c r="B82" t="s">
        <v>36</v>
      </c>
      <c r="C82" t="s">
        <v>86</v>
      </c>
      <c r="D82">
        <v>2801</v>
      </c>
      <c r="E82" t="s">
        <v>112</v>
      </c>
    </row>
    <row r="83" spans="1:5" x14ac:dyDescent="0.35">
      <c r="A83">
        <v>17</v>
      </c>
      <c r="B83" t="s">
        <v>36</v>
      </c>
      <c r="C83" t="s">
        <v>87</v>
      </c>
      <c r="D83">
        <v>2</v>
      </c>
      <c r="E83" t="s">
        <v>112</v>
      </c>
    </row>
    <row r="84" spans="1:5" x14ac:dyDescent="0.35">
      <c r="A84">
        <v>17</v>
      </c>
      <c r="B84" t="s">
        <v>36</v>
      </c>
      <c r="C84" t="s">
        <v>88</v>
      </c>
      <c r="D84">
        <v>2803</v>
      </c>
      <c r="E84" t="s">
        <v>112</v>
      </c>
    </row>
    <row r="85" spans="1:5" x14ac:dyDescent="0.35">
      <c r="A85">
        <v>17</v>
      </c>
      <c r="B85" t="s">
        <v>36</v>
      </c>
      <c r="C85" t="s">
        <v>89</v>
      </c>
      <c r="D85">
        <v>69</v>
      </c>
      <c r="E85" t="s">
        <v>112</v>
      </c>
    </row>
    <row r="86" spans="1:5" x14ac:dyDescent="0.35">
      <c r="A86">
        <v>17</v>
      </c>
      <c r="B86" t="s">
        <v>36</v>
      </c>
      <c r="C86" t="s">
        <v>90</v>
      </c>
      <c r="D86">
        <v>2872</v>
      </c>
      <c r="E86" t="s">
        <v>112</v>
      </c>
    </row>
    <row r="87" spans="1:5" x14ac:dyDescent="0.35">
      <c r="A87">
        <v>18</v>
      </c>
      <c r="B87" t="s">
        <v>78</v>
      </c>
      <c r="C87" t="s">
        <v>86</v>
      </c>
      <c r="D87">
        <v>0</v>
      </c>
      <c r="E87" t="s">
        <v>115</v>
      </c>
    </row>
    <row r="88" spans="1:5" x14ac:dyDescent="0.35">
      <c r="A88">
        <v>18</v>
      </c>
      <c r="B88" t="s">
        <v>78</v>
      </c>
      <c r="C88" t="s">
        <v>87</v>
      </c>
      <c r="D88">
        <v>194</v>
      </c>
      <c r="E88" t="s">
        <v>115</v>
      </c>
    </row>
    <row r="89" spans="1:5" x14ac:dyDescent="0.35">
      <c r="A89">
        <v>18</v>
      </c>
      <c r="B89" t="s">
        <v>78</v>
      </c>
      <c r="C89" t="s">
        <v>88</v>
      </c>
      <c r="D89">
        <v>194</v>
      </c>
      <c r="E89" t="s">
        <v>115</v>
      </c>
    </row>
    <row r="90" spans="1:5" x14ac:dyDescent="0.35">
      <c r="A90">
        <v>18</v>
      </c>
      <c r="B90" t="s">
        <v>78</v>
      </c>
      <c r="C90" t="s">
        <v>89</v>
      </c>
      <c r="D90">
        <v>0</v>
      </c>
      <c r="E90" t="s">
        <v>115</v>
      </c>
    </row>
    <row r="91" spans="1:5" x14ac:dyDescent="0.35">
      <c r="A91">
        <v>18</v>
      </c>
      <c r="B91" t="s">
        <v>78</v>
      </c>
      <c r="C91" t="s">
        <v>90</v>
      </c>
      <c r="D91">
        <v>194</v>
      </c>
      <c r="E91" t="s">
        <v>115</v>
      </c>
    </row>
    <row r="92" spans="1:5" x14ac:dyDescent="0.35">
      <c r="A92">
        <v>19</v>
      </c>
      <c r="B92" t="s">
        <v>38</v>
      </c>
      <c r="C92" t="s">
        <v>86</v>
      </c>
      <c r="D92">
        <v>18251</v>
      </c>
      <c r="E92" t="s">
        <v>116</v>
      </c>
    </row>
    <row r="93" spans="1:5" x14ac:dyDescent="0.35">
      <c r="A93">
        <v>19</v>
      </c>
      <c r="B93" t="s">
        <v>38</v>
      </c>
      <c r="C93" t="s">
        <v>87</v>
      </c>
      <c r="D93">
        <v>1481</v>
      </c>
      <c r="E93" t="s">
        <v>116</v>
      </c>
    </row>
    <row r="94" spans="1:5" x14ac:dyDescent="0.35">
      <c r="A94">
        <v>19</v>
      </c>
      <c r="B94" t="s">
        <v>38</v>
      </c>
      <c r="C94" t="s">
        <v>88</v>
      </c>
      <c r="D94">
        <v>19732</v>
      </c>
      <c r="E94" t="s">
        <v>116</v>
      </c>
    </row>
    <row r="95" spans="1:5" x14ac:dyDescent="0.35">
      <c r="A95">
        <v>19</v>
      </c>
      <c r="B95" t="s">
        <v>38</v>
      </c>
      <c r="C95" t="s">
        <v>89</v>
      </c>
      <c r="D95">
        <v>10135</v>
      </c>
      <c r="E95" t="s">
        <v>116</v>
      </c>
    </row>
    <row r="96" spans="1:5" x14ac:dyDescent="0.35">
      <c r="A96">
        <v>19</v>
      </c>
      <c r="B96" t="s">
        <v>38</v>
      </c>
      <c r="C96" t="s">
        <v>90</v>
      </c>
      <c r="D96">
        <v>29867</v>
      </c>
      <c r="E96" t="s">
        <v>116</v>
      </c>
    </row>
    <row r="97" spans="1:5" x14ac:dyDescent="0.35">
      <c r="A97">
        <v>20</v>
      </c>
      <c r="B97" t="s">
        <v>40</v>
      </c>
      <c r="C97" t="s">
        <v>86</v>
      </c>
      <c r="D97">
        <v>166465</v>
      </c>
      <c r="E97" t="s">
        <v>117</v>
      </c>
    </row>
    <row r="98" spans="1:5" x14ac:dyDescent="0.35">
      <c r="A98">
        <v>20</v>
      </c>
      <c r="B98" t="s">
        <v>40</v>
      </c>
      <c r="C98" t="s">
        <v>87</v>
      </c>
      <c r="D98">
        <v>0</v>
      </c>
      <c r="E98" t="s">
        <v>117</v>
      </c>
    </row>
    <row r="99" spans="1:5" x14ac:dyDescent="0.35">
      <c r="A99">
        <v>20</v>
      </c>
      <c r="B99" t="s">
        <v>40</v>
      </c>
      <c r="C99" t="s">
        <v>88</v>
      </c>
      <c r="D99">
        <v>166465</v>
      </c>
      <c r="E99" t="s">
        <v>117</v>
      </c>
    </row>
    <row r="100" spans="1:5" x14ac:dyDescent="0.35">
      <c r="A100">
        <v>20</v>
      </c>
      <c r="B100" t="s">
        <v>40</v>
      </c>
      <c r="C100" t="s">
        <v>89</v>
      </c>
      <c r="D100">
        <v>0</v>
      </c>
      <c r="E100" t="s">
        <v>117</v>
      </c>
    </row>
    <row r="101" spans="1:5" x14ac:dyDescent="0.35">
      <c r="A101">
        <v>20</v>
      </c>
      <c r="B101" t="s">
        <v>40</v>
      </c>
      <c r="C101" t="s">
        <v>90</v>
      </c>
      <c r="D101">
        <v>166465</v>
      </c>
      <c r="E101" t="s">
        <v>117</v>
      </c>
    </row>
    <row r="102" spans="1:5" x14ac:dyDescent="0.35">
      <c r="A102">
        <v>21</v>
      </c>
      <c r="B102" t="s">
        <v>42</v>
      </c>
      <c r="C102" t="s">
        <v>86</v>
      </c>
      <c r="D102">
        <v>443</v>
      </c>
      <c r="E102" t="s">
        <v>113</v>
      </c>
    </row>
    <row r="103" spans="1:5" x14ac:dyDescent="0.35">
      <c r="A103">
        <v>21</v>
      </c>
      <c r="B103" t="s">
        <v>42</v>
      </c>
      <c r="C103" t="s">
        <v>87</v>
      </c>
      <c r="D103">
        <v>69</v>
      </c>
      <c r="E103" t="s">
        <v>113</v>
      </c>
    </row>
    <row r="104" spans="1:5" x14ac:dyDescent="0.35">
      <c r="A104">
        <v>21</v>
      </c>
      <c r="B104" t="s">
        <v>42</v>
      </c>
      <c r="C104" t="s">
        <v>88</v>
      </c>
      <c r="D104">
        <v>512</v>
      </c>
      <c r="E104" t="s">
        <v>113</v>
      </c>
    </row>
    <row r="105" spans="1:5" x14ac:dyDescent="0.35">
      <c r="A105">
        <v>21</v>
      </c>
      <c r="B105" t="s">
        <v>42</v>
      </c>
      <c r="C105" t="s">
        <v>89</v>
      </c>
      <c r="D105">
        <v>69</v>
      </c>
      <c r="E105" t="s">
        <v>113</v>
      </c>
    </row>
    <row r="106" spans="1:5" x14ac:dyDescent="0.35">
      <c r="A106">
        <v>21</v>
      </c>
      <c r="B106" t="s">
        <v>42</v>
      </c>
      <c r="C106" t="s">
        <v>90</v>
      </c>
      <c r="D106">
        <v>581</v>
      </c>
      <c r="E106" t="s">
        <v>113</v>
      </c>
    </row>
    <row r="107" spans="1:5" x14ac:dyDescent="0.35">
      <c r="A107">
        <v>22</v>
      </c>
      <c r="B107" t="s">
        <v>44</v>
      </c>
      <c r="C107" t="s">
        <v>86</v>
      </c>
      <c r="D107">
        <v>152</v>
      </c>
      <c r="E107" t="s">
        <v>113</v>
      </c>
    </row>
    <row r="108" spans="1:5" x14ac:dyDescent="0.35">
      <c r="A108">
        <v>22</v>
      </c>
      <c r="B108" t="s">
        <v>44</v>
      </c>
      <c r="C108" t="s">
        <v>87</v>
      </c>
      <c r="D108">
        <v>0</v>
      </c>
      <c r="E108" t="s">
        <v>113</v>
      </c>
    </row>
    <row r="109" spans="1:5" x14ac:dyDescent="0.35">
      <c r="A109">
        <v>22</v>
      </c>
      <c r="B109" t="s">
        <v>44</v>
      </c>
      <c r="C109" t="s">
        <v>88</v>
      </c>
      <c r="D109">
        <v>152</v>
      </c>
      <c r="E109" t="s">
        <v>113</v>
      </c>
    </row>
    <row r="110" spans="1:5" x14ac:dyDescent="0.35">
      <c r="A110">
        <v>22</v>
      </c>
      <c r="B110" t="s">
        <v>44</v>
      </c>
      <c r="C110" t="s">
        <v>89</v>
      </c>
      <c r="D110">
        <v>0</v>
      </c>
      <c r="E110" t="s">
        <v>113</v>
      </c>
    </row>
    <row r="111" spans="1:5" x14ac:dyDescent="0.35">
      <c r="A111">
        <v>22</v>
      </c>
      <c r="B111" t="s">
        <v>44</v>
      </c>
      <c r="C111" t="s">
        <v>90</v>
      </c>
      <c r="D111">
        <v>152</v>
      </c>
      <c r="E111" t="s">
        <v>113</v>
      </c>
    </row>
    <row r="112" spans="1:5" x14ac:dyDescent="0.35">
      <c r="A112">
        <v>23</v>
      </c>
      <c r="B112" t="s">
        <v>46</v>
      </c>
      <c r="C112" t="s">
        <v>86</v>
      </c>
      <c r="D112">
        <v>188</v>
      </c>
      <c r="E112" t="s">
        <v>113</v>
      </c>
    </row>
    <row r="113" spans="1:5" x14ac:dyDescent="0.35">
      <c r="A113">
        <v>23</v>
      </c>
      <c r="B113" t="s">
        <v>46</v>
      </c>
      <c r="C113" t="s">
        <v>87</v>
      </c>
      <c r="D113">
        <v>393</v>
      </c>
      <c r="E113" t="s">
        <v>113</v>
      </c>
    </row>
    <row r="114" spans="1:5" x14ac:dyDescent="0.35">
      <c r="A114">
        <v>23</v>
      </c>
      <c r="B114" t="s">
        <v>46</v>
      </c>
      <c r="C114" t="s">
        <v>88</v>
      </c>
      <c r="D114">
        <v>581</v>
      </c>
      <c r="E114" t="s">
        <v>113</v>
      </c>
    </row>
    <row r="115" spans="1:5" x14ac:dyDescent="0.35">
      <c r="A115">
        <v>23</v>
      </c>
      <c r="B115" t="s">
        <v>46</v>
      </c>
      <c r="C115" t="s">
        <v>89</v>
      </c>
      <c r="D115">
        <v>743</v>
      </c>
      <c r="E115" t="s">
        <v>113</v>
      </c>
    </row>
    <row r="116" spans="1:5" x14ac:dyDescent="0.35">
      <c r="A116">
        <v>23</v>
      </c>
      <c r="B116" t="s">
        <v>46</v>
      </c>
      <c r="C116" t="s">
        <v>90</v>
      </c>
      <c r="D116">
        <v>1324</v>
      </c>
      <c r="E116" t="s">
        <v>113</v>
      </c>
    </row>
    <row r="117" spans="1:5" x14ac:dyDescent="0.35">
      <c r="A117">
        <v>24</v>
      </c>
      <c r="B117" t="s">
        <v>48</v>
      </c>
      <c r="C117" t="s">
        <v>86</v>
      </c>
      <c r="D117">
        <v>235</v>
      </c>
      <c r="E117" t="s">
        <v>113</v>
      </c>
    </row>
    <row r="118" spans="1:5" x14ac:dyDescent="0.35">
      <c r="A118">
        <v>24</v>
      </c>
      <c r="B118" t="s">
        <v>48</v>
      </c>
      <c r="C118" t="s">
        <v>87</v>
      </c>
      <c r="D118">
        <v>0</v>
      </c>
      <c r="E118" t="s">
        <v>113</v>
      </c>
    </row>
    <row r="119" spans="1:5" x14ac:dyDescent="0.35">
      <c r="A119">
        <v>24</v>
      </c>
      <c r="B119" t="s">
        <v>48</v>
      </c>
      <c r="C119" t="s">
        <v>88</v>
      </c>
      <c r="D119">
        <v>235</v>
      </c>
      <c r="E119" t="s">
        <v>113</v>
      </c>
    </row>
    <row r="120" spans="1:5" x14ac:dyDescent="0.35">
      <c r="A120">
        <v>24</v>
      </c>
      <c r="B120" t="s">
        <v>48</v>
      </c>
      <c r="C120" t="s">
        <v>89</v>
      </c>
      <c r="D120">
        <v>3</v>
      </c>
      <c r="E120" t="s">
        <v>113</v>
      </c>
    </row>
    <row r="121" spans="1:5" x14ac:dyDescent="0.35">
      <c r="A121">
        <v>24</v>
      </c>
      <c r="B121" t="s">
        <v>48</v>
      </c>
      <c r="C121" t="s">
        <v>90</v>
      </c>
      <c r="D121">
        <v>238</v>
      </c>
      <c r="E121" t="s">
        <v>113</v>
      </c>
    </row>
    <row r="122" spans="1:5" x14ac:dyDescent="0.35">
      <c r="A122">
        <v>25</v>
      </c>
      <c r="B122" t="s">
        <v>50</v>
      </c>
      <c r="C122" t="s">
        <v>86</v>
      </c>
      <c r="D122">
        <v>9072</v>
      </c>
      <c r="E122" t="s">
        <v>114</v>
      </c>
    </row>
    <row r="123" spans="1:5" x14ac:dyDescent="0.35">
      <c r="A123">
        <v>25</v>
      </c>
      <c r="B123" t="s">
        <v>50</v>
      </c>
      <c r="C123" t="s">
        <v>87</v>
      </c>
      <c r="D123">
        <v>2927</v>
      </c>
      <c r="E123" t="s">
        <v>114</v>
      </c>
    </row>
    <row r="124" spans="1:5" x14ac:dyDescent="0.35">
      <c r="A124">
        <v>25</v>
      </c>
      <c r="B124" t="s">
        <v>50</v>
      </c>
      <c r="C124" t="s">
        <v>88</v>
      </c>
      <c r="D124">
        <v>11999</v>
      </c>
      <c r="E124" t="s">
        <v>114</v>
      </c>
    </row>
    <row r="125" spans="1:5" x14ac:dyDescent="0.35">
      <c r="A125">
        <v>25</v>
      </c>
      <c r="B125" t="s">
        <v>50</v>
      </c>
      <c r="C125" t="s">
        <v>89</v>
      </c>
      <c r="D125">
        <v>212</v>
      </c>
      <c r="E125" t="s">
        <v>114</v>
      </c>
    </row>
    <row r="126" spans="1:5" x14ac:dyDescent="0.35">
      <c r="A126">
        <v>25</v>
      </c>
      <c r="B126" t="s">
        <v>50</v>
      </c>
      <c r="C126" t="s">
        <v>90</v>
      </c>
      <c r="D126">
        <v>12211</v>
      </c>
      <c r="E126" t="s">
        <v>114</v>
      </c>
    </row>
    <row r="127" spans="1:5" x14ac:dyDescent="0.35">
      <c r="A127">
        <v>26</v>
      </c>
      <c r="B127" t="s">
        <v>52</v>
      </c>
      <c r="C127" t="s">
        <v>86</v>
      </c>
      <c r="D127">
        <v>466</v>
      </c>
      <c r="E127" t="s">
        <v>112</v>
      </c>
    </row>
    <row r="128" spans="1:5" x14ac:dyDescent="0.35">
      <c r="A128">
        <v>26</v>
      </c>
      <c r="B128" t="s">
        <v>52</v>
      </c>
      <c r="C128" t="s">
        <v>87</v>
      </c>
      <c r="D128">
        <v>370</v>
      </c>
      <c r="E128" t="s">
        <v>112</v>
      </c>
    </row>
    <row r="129" spans="1:5" x14ac:dyDescent="0.35">
      <c r="A129">
        <v>26</v>
      </c>
      <c r="B129" t="s">
        <v>52</v>
      </c>
      <c r="C129" t="s">
        <v>88</v>
      </c>
      <c r="D129">
        <v>836</v>
      </c>
      <c r="E129" t="s">
        <v>112</v>
      </c>
    </row>
    <row r="130" spans="1:5" x14ac:dyDescent="0.35">
      <c r="A130">
        <v>26</v>
      </c>
      <c r="B130" t="s">
        <v>52</v>
      </c>
      <c r="C130" t="s">
        <v>89</v>
      </c>
      <c r="D130">
        <v>0</v>
      </c>
      <c r="E130" t="s">
        <v>112</v>
      </c>
    </row>
    <row r="131" spans="1:5" x14ac:dyDescent="0.35">
      <c r="A131">
        <v>26</v>
      </c>
      <c r="B131" t="s">
        <v>52</v>
      </c>
      <c r="C131" t="s">
        <v>90</v>
      </c>
      <c r="D131">
        <v>836</v>
      </c>
      <c r="E131" t="s">
        <v>112</v>
      </c>
    </row>
    <row r="132" spans="1:5" x14ac:dyDescent="0.35">
      <c r="A132">
        <v>27</v>
      </c>
      <c r="B132" t="s">
        <v>54</v>
      </c>
      <c r="C132" t="s">
        <v>86</v>
      </c>
      <c r="D132">
        <v>10775</v>
      </c>
      <c r="E132" t="s">
        <v>115</v>
      </c>
    </row>
    <row r="133" spans="1:5" x14ac:dyDescent="0.35">
      <c r="A133">
        <v>27</v>
      </c>
      <c r="B133" t="s">
        <v>54</v>
      </c>
      <c r="C133" t="s">
        <v>87</v>
      </c>
      <c r="D133">
        <v>613</v>
      </c>
      <c r="E133" t="s">
        <v>115</v>
      </c>
    </row>
    <row r="134" spans="1:5" x14ac:dyDescent="0.35">
      <c r="A134">
        <v>27</v>
      </c>
      <c r="B134" t="s">
        <v>54</v>
      </c>
      <c r="C134" t="s">
        <v>88</v>
      </c>
      <c r="D134">
        <v>11388</v>
      </c>
      <c r="E134" t="s">
        <v>115</v>
      </c>
    </row>
    <row r="135" spans="1:5" x14ac:dyDescent="0.35">
      <c r="A135">
        <v>27</v>
      </c>
      <c r="B135" t="s">
        <v>54</v>
      </c>
      <c r="C135" t="s">
        <v>89</v>
      </c>
      <c r="D135">
        <v>134</v>
      </c>
      <c r="E135" t="s">
        <v>115</v>
      </c>
    </row>
    <row r="136" spans="1:5" x14ac:dyDescent="0.35">
      <c r="A136">
        <v>27</v>
      </c>
      <c r="B136" t="s">
        <v>54</v>
      </c>
      <c r="C136" t="s">
        <v>90</v>
      </c>
      <c r="D136">
        <v>11522</v>
      </c>
      <c r="E136" t="s">
        <v>115</v>
      </c>
    </row>
    <row r="137" spans="1:5" x14ac:dyDescent="0.35">
      <c r="A137">
        <v>28</v>
      </c>
      <c r="B137" t="s">
        <v>56</v>
      </c>
      <c r="C137" t="s">
        <v>86</v>
      </c>
      <c r="D137">
        <v>23147</v>
      </c>
      <c r="E137" t="s">
        <v>115</v>
      </c>
    </row>
    <row r="138" spans="1:5" x14ac:dyDescent="0.35">
      <c r="A138">
        <v>28</v>
      </c>
      <c r="B138" t="s">
        <v>56</v>
      </c>
      <c r="C138" t="s">
        <v>87</v>
      </c>
      <c r="D138">
        <v>8153</v>
      </c>
      <c r="E138" t="s">
        <v>115</v>
      </c>
    </row>
    <row r="139" spans="1:5" x14ac:dyDescent="0.35">
      <c r="A139">
        <v>28</v>
      </c>
      <c r="B139" t="s">
        <v>56</v>
      </c>
      <c r="C139" t="s">
        <v>88</v>
      </c>
      <c r="D139">
        <v>31300</v>
      </c>
      <c r="E139" t="s">
        <v>115</v>
      </c>
    </row>
    <row r="140" spans="1:5" x14ac:dyDescent="0.35">
      <c r="A140">
        <v>28</v>
      </c>
      <c r="B140" t="s">
        <v>56</v>
      </c>
      <c r="C140" t="s">
        <v>89</v>
      </c>
      <c r="D140">
        <v>0</v>
      </c>
      <c r="E140" t="s">
        <v>115</v>
      </c>
    </row>
    <row r="141" spans="1:5" x14ac:dyDescent="0.35">
      <c r="A141">
        <v>28</v>
      </c>
      <c r="B141" t="s">
        <v>56</v>
      </c>
      <c r="C141" t="s">
        <v>90</v>
      </c>
      <c r="D141">
        <v>31300</v>
      </c>
      <c r="E141" t="s">
        <v>115</v>
      </c>
    </row>
    <row r="142" spans="1:5" x14ac:dyDescent="0.35">
      <c r="A142">
        <v>29</v>
      </c>
      <c r="B142" t="s">
        <v>58</v>
      </c>
      <c r="C142" t="s">
        <v>86</v>
      </c>
      <c r="D142">
        <v>163</v>
      </c>
      <c r="E142" t="s">
        <v>113</v>
      </c>
    </row>
    <row r="143" spans="1:5" x14ac:dyDescent="0.35">
      <c r="A143">
        <v>29</v>
      </c>
      <c r="B143" t="s">
        <v>58</v>
      </c>
      <c r="C143" t="s">
        <v>87</v>
      </c>
      <c r="D143">
        <v>0</v>
      </c>
      <c r="E143" t="s">
        <v>113</v>
      </c>
    </row>
    <row r="144" spans="1:5" x14ac:dyDescent="0.35">
      <c r="A144">
        <v>29</v>
      </c>
      <c r="B144" t="s">
        <v>58</v>
      </c>
      <c r="C144" t="s">
        <v>88</v>
      </c>
      <c r="D144">
        <v>163</v>
      </c>
      <c r="E144" t="s">
        <v>113</v>
      </c>
    </row>
    <row r="145" spans="1:5" x14ac:dyDescent="0.35">
      <c r="A145">
        <v>29</v>
      </c>
      <c r="B145" t="s">
        <v>58</v>
      </c>
      <c r="C145" t="s">
        <v>89</v>
      </c>
      <c r="D145">
        <v>105</v>
      </c>
      <c r="E145" t="s">
        <v>113</v>
      </c>
    </row>
    <row r="146" spans="1:5" x14ac:dyDescent="0.35">
      <c r="A146">
        <v>29</v>
      </c>
      <c r="B146" t="s">
        <v>58</v>
      </c>
      <c r="C146" t="s">
        <v>90</v>
      </c>
      <c r="D146">
        <v>268</v>
      </c>
      <c r="E146" t="s">
        <v>113</v>
      </c>
    </row>
    <row r="147" spans="1:5" x14ac:dyDescent="0.35">
      <c r="A147">
        <v>30</v>
      </c>
      <c r="B147" t="s">
        <v>60</v>
      </c>
      <c r="C147" t="s">
        <v>86</v>
      </c>
      <c r="D147">
        <v>89648</v>
      </c>
      <c r="E147" t="s">
        <v>112</v>
      </c>
    </row>
    <row r="148" spans="1:5" x14ac:dyDescent="0.35">
      <c r="A148">
        <v>30</v>
      </c>
      <c r="B148" t="s">
        <v>60</v>
      </c>
      <c r="C148" t="s">
        <v>87</v>
      </c>
      <c r="D148">
        <v>3096</v>
      </c>
      <c r="E148" t="s">
        <v>112</v>
      </c>
    </row>
    <row r="149" spans="1:5" x14ac:dyDescent="0.35">
      <c r="A149">
        <v>30</v>
      </c>
      <c r="B149" t="s">
        <v>60</v>
      </c>
      <c r="C149" t="s">
        <v>88</v>
      </c>
      <c r="D149">
        <v>92744</v>
      </c>
      <c r="E149" t="s">
        <v>112</v>
      </c>
    </row>
    <row r="150" spans="1:5" x14ac:dyDescent="0.35">
      <c r="A150">
        <v>30</v>
      </c>
      <c r="B150" t="s">
        <v>60</v>
      </c>
      <c r="C150" t="s">
        <v>89</v>
      </c>
      <c r="D150">
        <v>0</v>
      </c>
      <c r="E150" t="s">
        <v>112</v>
      </c>
    </row>
    <row r="151" spans="1:5" x14ac:dyDescent="0.35">
      <c r="A151">
        <v>30</v>
      </c>
      <c r="B151" t="s">
        <v>60</v>
      </c>
      <c r="C151" t="s">
        <v>90</v>
      </c>
      <c r="D151">
        <v>92744</v>
      </c>
      <c r="E151" t="s">
        <v>112</v>
      </c>
    </row>
    <row r="152" spans="1:5" x14ac:dyDescent="0.35">
      <c r="A152">
        <v>31</v>
      </c>
      <c r="B152" t="s">
        <v>62</v>
      </c>
      <c r="C152" t="s">
        <v>86</v>
      </c>
      <c r="D152">
        <v>6000</v>
      </c>
      <c r="E152" t="s">
        <v>112</v>
      </c>
    </row>
    <row r="153" spans="1:5" x14ac:dyDescent="0.35">
      <c r="A153">
        <v>31</v>
      </c>
      <c r="B153" t="s">
        <v>62</v>
      </c>
      <c r="C153" t="s">
        <v>87</v>
      </c>
      <c r="D153">
        <v>4209</v>
      </c>
      <c r="E153" t="s">
        <v>112</v>
      </c>
    </row>
    <row r="154" spans="1:5" x14ac:dyDescent="0.35">
      <c r="A154">
        <v>31</v>
      </c>
      <c r="B154" t="s">
        <v>62</v>
      </c>
      <c r="C154" t="s">
        <v>88</v>
      </c>
      <c r="D154">
        <v>10209</v>
      </c>
      <c r="E154" t="s">
        <v>112</v>
      </c>
    </row>
    <row r="155" spans="1:5" x14ac:dyDescent="0.35">
      <c r="A155">
        <v>31</v>
      </c>
      <c r="B155" t="s">
        <v>62</v>
      </c>
      <c r="C155" t="s">
        <v>89</v>
      </c>
      <c r="D155">
        <v>5256</v>
      </c>
      <c r="E155" t="s">
        <v>112</v>
      </c>
    </row>
    <row r="156" spans="1:5" x14ac:dyDescent="0.35">
      <c r="A156">
        <v>31</v>
      </c>
      <c r="B156" t="s">
        <v>62</v>
      </c>
      <c r="C156" t="s">
        <v>90</v>
      </c>
      <c r="D156">
        <v>15465</v>
      </c>
      <c r="E156" t="s">
        <v>112</v>
      </c>
    </row>
    <row r="157" spans="1:5" x14ac:dyDescent="0.35">
      <c r="A157">
        <v>32</v>
      </c>
      <c r="B157" t="s">
        <v>64</v>
      </c>
      <c r="C157" t="s">
        <v>86</v>
      </c>
      <c r="D157">
        <v>883</v>
      </c>
      <c r="E157" t="s">
        <v>113</v>
      </c>
    </row>
    <row r="158" spans="1:5" x14ac:dyDescent="0.35">
      <c r="A158">
        <v>32</v>
      </c>
      <c r="B158" t="s">
        <v>64</v>
      </c>
      <c r="C158" t="s">
        <v>87</v>
      </c>
      <c r="D158">
        <v>190</v>
      </c>
      <c r="E158" t="s">
        <v>113</v>
      </c>
    </row>
    <row r="159" spans="1:5" x14ac:dyDescent="0.35">
      <c r="A159">
        <v>32</v>
      </c>
      <c r="B159" t="s">
        <v>64</v>
      </c>
      <c r="C159" t="s">
        <v>88</v>
      </c>
      <c r="D159">
        <v>1073</v>
      </c>
      <c r="E159" t="s">
        <v>113</v>
      </c>
    </row>
    <row r="160" spans="1:5" x14ac:dyDescent="0.35">
      <c r="A160">
        <v>32</v>
      </c>
      <c r="B160" t="s">
        <v>64</v>
      </c>
      <c r="C160" t="s">
        <v>89</v>
      </c>
      <c r="D160">
        <v>16</v>
      </c>
      <c r="E160" t="s">
        <v>113</v>
      </c>
    </row>
    <row r="161" spans="1:5" x14ac:dyDescent="0.35">
      <c r="A161">
        <v>32</v>
      </c>
      <c r="B161" t="s">
        <v>64</v>
      </c>
      <c r="C161" t="s">
        <v>90</v>
      </c>
      <c r="D161">
        <v>1089</v>
      </c>
      <c r="E161" t="s">
        <v>113</v>
      </c>
    </row>
    <row r="162" spans="1:5" x14ac:dyDescent="0.35">
      <c r="A162">
        <v>33</v>
      </c>
      <c r="B162" t="s">
        <v>66</v>
      </c>
      <c r="C162" t="s">
        <v>86</v>
      </c>
      <c r="D162">
        <v>62490</v>
      </c>
      <c r="E162" t="s">
        <v>116</v>
      </c>
    </row>
    <row r="163" spans="1:5" x14ac:dyDescent="0.35">
      <c r="A163">
        <v>33</v>
      </c>
      <c r="B163" t="s">
        <v>66</v>
      </c>
      <c r="C163" t="s">
        <v>87</v>
      </c>
      <c r="D163">
        <v>6802</v>
      </c>
      <c r="E163" t="s">
        <v>116</v>
      </c>
    </row>
    <row r="164" spans="1:5" x14ac:dyDescent="0.35">
      <c r="A164">
        <v>33</v>
      </c>
      <c r="B164" t="s">
        <v>66</v>
      </c>
      <c r="C164" t="s">
        <v>88</v>
      </c>
      <c r="D164">
        <v>69292</v>
      </c>
      <c r="E164" t="s">
        <v>116</v>
      </c>
    </row>
    <row r="165" spans="1:5" x14ac:dyDescent="0.35">
      <c r="A165">
        <v>33</v>
      </c>
      <c r="B165" t="s">
        <v>66</v>
      </c>
      <c r="C165" t="s">
        <v>89</v>
      </c>
      <c r="D165">
        <v>1078</v>
      </c>
      <c r="E165" t="s">
        <v>116</v>
      </c>
    </row>
    <row r="166" spans="1:5" x14ac:dyDescent="0.35">
      <c r="A166">
        <v>33</v>
      </c>
      <c r="B166" t="s">
        <v>66</v>
      </c>
      <c r="C166" t="s">
        <v>90</v>
      </c>
      <c r="D166">
        <v>70370</v>
      </c>
      <c r="E166" t="s">
        <v>116</v>
      </c>
    </row>
    <row r="167" spans="1:5" x14ac:dyDescent="0.35">
      <c r="A167">
        <v>34</v>
      </c>
      <c r="B167" t="s">
        <v>68</v>
      </c>
      <c r="C167" t="s">
        <v>86</v>
      </c>
      <c r="D167">
        <v>4547</v>
      </c>
      <c r="E167" t="s">
        <v>115</v>
      </c>
    </row>
    <row r="168" spans="1:5" x14ac:dyDescent="0.35">
      <c r="A168">
        <v>34</v>
      </c>
      <c r="B168" t="s">
        <v>68</v>
      </c>
      <c r="C168" t="s">
        <v>87</v>
      </c>
      <c r="D168">
        <v>95</v>
      </c>
      <c r="E168" t="s">
        <v>115</v>
      </c>
    </row>
    <row r="169" spans="1:5" x14ac:dyDescent="0.35">
      <c r="A169">
        <v>34</v>
      </c>
      <c r="B169" t="s">
        <v>68</v>
      </c>
      <c r="C169" t="s">
        <v>88</v>
      </c>
      <c r="D169">
        <v>4642</v>
      </c>
      <c r="E169" t="s">
        <v>115</v>
      </c>
    </row>
    <row r="170" spans="1:5" x14ac:dyDescent="0.35">
      <c r="A170">
        <v>34</v>
      </c>
      <c r="B170" t="s">
        <v>68</v>
      </c>
      <c r="C170" t="s">
        <v>89</v>
      </c>
      <c r="D170">
        <v>52</v>
      </c>
      <c r="E170" t="s">
        <v>115</v>
      </c>
    </row>
    <row r="171" spans="1:5" x14ac:dyDescent="0.35">
      <c r="A171">
        <v>34</v>
      </c>
      <c r="B171" t="s">
        <v>68</v>
      </c>
      <c r="C171" t="s">
        <v>90</v>
      </c>
      <c r="D171">
        <v>4694</v>
      </c>
      <c r="E171" t="s">
        <v>115</v>
      </c>
    </row>
    <row r="172" spans="1:5" x14ac:dyDescent="0.35">
      <c r="A172">
        <v>35</v>
      </c>
      <c r="B172" t="s">
        <v>70</v>
      </c>
      <c r="C172" t="s">
        <v>86</v>
      </c>
      <c r="D172">
        <v>299</v>
      </c>
      <c r="E172" t="s">
        <v>114</v>
      </c>
    </row>
    <row r="173" spans="1:5" x14ac:dyDescent="0.35">
      <c r="A173">
        <v>35</v>
      </c>
      <c r="B173" t="s">
        <v>70</v>
      </c>
      <c r="C173" t="s">
        <v>87</v>
      </c>
      <c r="D173">
        <v>5447</v>
      </c>
      <c r="E173" t="s">
        <v>114</v>
      </c>
    </row>
    <row r="174" spans="1:5" x14ac:dyDescent="0.35">
      <c r="A174">
        <v>35</v>
      </c>
      <c r="B174" t="s">
        <v>70</v>
      </c>
      <c r="C174" t="s">
        <v>88</v>
      </c>
      <c r="D174">
        <v>5746</v>
      </c>
      <c r="E174" t="s">
        <v>114</v>
      </c>
    </row>
    <row r="175" spans="1:5" x14ac:dyDescent="0.35">
      <c r="A175">
        <v>35</v>
      </c>
      <c r="B175" t="s">
        <v>70</v>
      </c>
      <c r="C175" t="s">
        <v>89</v>
      </c>
      <c r="D175">
        <v>0</v>
      </c>
      <c r="E175" t="s">
        <v>114</v>
      </c>
    </row>
    <row r="176" spans="1:5" x14ac:dyDescent="0.35">
      <c r="A176">
        <v>35</v>
      </c>
      <c r="B176" t="s">
        <v>70</v>
      </c>
      <c r="C176" t="s">
        <v>90</v>
      </c>
      <c r="D176">
        <v>5746</v>
      </c>
      <c r="E176" t="s">
        <v>114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0E06-3F2B-474A-941F-9EB0987316E3}">
  <dimension ref="A1:G37"/>
  <sheetViews>
    <sheetView zoomScale="55" zoomScaleNormal="55" workbookViewId="0">
      <selection activeCell="E39" sqref="E39"/>
    </sheetView>
  </sheetViews>
  <sheetFormatPr defaultRowHeight="14.5" x14ac:dyDescent="0.35"/>
  <cols>
    <col min="2" max="2" width="32.453125" bestFit="1" customWidth="1"/>
    <col min="3" max="3" width="31.81640625" bestFit="1" customWidth="1"/>
    <col min="4" max="5" width="39.1796875" bestFit="1" customWidth="1"/>
    <col min="6" max="6" width="46.81640625" bestFit="1" customWidth="1"/>
    <col min="7" max="7" width="39.81640625" bestFit="1" customWidth="1"/>
  </cols>
  <sheetData>
    <row r="1" spans="1:7" x14ac:dyDescent="0.35">
      <c r="A1" s="2" t="s">
        <v>0</v>
      </c>
      <c r="B1" s="2" t="s">
        <v>1</v>
      </c>
      <c r="C1" s="2" t="s">
        <v>86</v>
      </c>
      <c r="D1" s="2" t="s">
        <v>87</v>
      </c>
      <c r="E1" s="2" t="s">
        <v>88</v>
      </c>
      <c r="F1" s="2" t="s">
        <v>89</v>
      </c>
      <c r="G1" s="12" t="s">
        <v>90</v>
      </c>
    </row>
    <row r="2" spans="1:7" x14ac:dyDescent="0.35">
      <c r="A2" s="3" t="s">
        <v>3</v>
      </c>
      <c r="B2" s="3" t="s">
        <v>4</v>
      </c>
      <c r="C2" s="4">
        <v>17757</v>
      </c>
      <c r="D2" s="3">
        <f>E2-C2</f>
        <v>40</v>
      </c>
      <c r="E2" s="3">
        <v>17797</v>
      </c>
      <c r="F2" s="3">
        <f>G2-E2</f>
        <v>2</v>
      </c>
      <c r="G2" s="3">
        <v>17799</v>
      </c>
    </row>
    <row r="3" spans="1:7" x14ac:dyDescent="0.35">
      <c r="A3" s="5" t="s">
        <v>5</v>
      </c>
      <c r="B3" s="5" t="s">
        <v>6</v>
      </c>
      <c r="C3" s="6">
        <v>603</v>
      </c>
      <c r="D3" s="5">
        <f t="shared" ref="D3:D36" si="0">E3-C3</f>
        <v>0</v>
      </c>
      <c r="E3" s="5">
        <v>603</v>
      </c>
      <c r="F3" s="5">
        <f t="shared" ref="F3:F36" si="1">G3-E3</f>
        <v>6</v>
      </c>
      <c r="G3" s="5">
        <v>609</v>
      </c>
    </row>
    <row r="4" spans="1:7" x14ac:dyDescent="0.35">
      <c r="A4" s="3" t="s">
        <v>7</v>
      </c>
      <c r="B4" s="3" t="s">
        <v>8</v>
      </c>
      <c r="C4" s="4">
        <v>46</v>
      </c>
      <c r="D4" s="3">
        <f t="shared" si="0"/>
        <v>0</v>
      </c>
      <c r="E4" s="3">
        <v>46</v>
      </c>
      <c r="F4" s="3">
        <f t="shared" si="1"/>
        <v>43</v>
      </c>
      <c r="G4" s="3">
        <v>89</v>
      </c>
    </row>
    <row r="5" spans="1:7" x14ac:dyDescent="0.35">
      <c r="A5" s="5" t="s">
        <v>9</v>
      </c>
      <c r="B5" s="5" t="s">
        <v>10</v>
      </c>
      <c r="C5" s="6">
        <v>3286</v>
      </c>
      <c r="D5" s="5">
        <f t="shared" si="0"/>
        <v>64</v>
      </c>
      <c r="E5" s="5">
        <v>3350</v>
      </c>
      <c r="F5" s="5">
        <f t="shared" si="1"/>
        <v>6</v>
      </c>
      <c r="G5" s="5">
        <v>3356</v>
      </c>
    </row>
    <row r="6" spans="1:7" x14ac:dyDescent="0.35">
      <c r="A6" s="3" t="s">
        <v>11</v>
      </c>
      <c r="B6" s="3" t="s">
        <v>12</v>
      </c>
      <c r="C6" s="4">
        <v>16124</v>
      </c>
      <c r="D6" s="3">
        <f t="shared" si="0"/>
        <v>4754</v>
      </c>
      <c r="E6" s="3">
        <v>20878</v>
      </c>
      <c r="F6" s="3">
        <f t="shared" si="1"/>
        <v>7799</v>
      </c>
      <c r="G6" s="3">
        <v>28677</v>
      </c>
    </row>
    <row r="7" spans="1:7" x14ac:dyDescent="0.35">
      <c r="A7" s="5" t="s">
        <v>13</v>
      </c>
      <c r="B7" s="5" t="s">
        <v>14</v>
      </c>
      <c r="C7" s="6">
        <v>2512</v>
      </c>
      <c r="D7" s="5">
        <f t="shared" si="0"/>
        <v>0</v>
      </c>
      <c r="E7" s="5">
        <v>2512</v>
      </c>
      <c r="F7" s="5">
        <f t="shared" si="1"/>
        <v>0</v>
      </c>
      <c r="G7" s="5">
        <v>2512</v>
      </c>
    </row>
    <row r="8" spans="1:7" x14ac:dyDescent="0.35">
      <c r="A8" s="3" t="s">
        <v>15</v>
      </c>
      <c r="B8" s="3" t="s">
        <v>16</v>
      </c>
      <c r="C8" s="4">
        <v>18832</v>
      </c>
      <c r="D8" s="3">
        <f t="shared" si="0"/>
        <v>0</v>
      </c>
      <c r="E8" s="3">
        <v>18832</v>
      </c>
      <c r="F8" s="3">
        <f t="shared" si="1"/>
        <v>0</v>
      </c>
      <c r="G8" s="3">
        <v>18832</v>
      </c>
    </row>
    <row r="9" spans="1:7" x14ac:dyDescent="0.35">
      <c r="A9" s="5" t="s">
        <v>17</v>
      </c>
      <c r="B9" s="5" t="s">
        <v>82</v>
      </c>
      <c r="C9" s="6">
        <v>615</v>
      </c>
      <c r="D9" s="5">
        <f t="shared" si="0"/>
        <v>0</v>
      </c>
      <c r="E9" s="5">
        <v>615</v>
      </c>
      <c r="F9" s="5">
        <f t="shared" si="1"/>
        <v>0</v>
      </c>
      <c r="G9" s="5">
        <v>615</v>
      </c>
    </row>
    <row r="10" spans="1:7" x14ac:dyDescent="0.35">
      <c r="A10" s="3" t="s">
        <v>18</v>
      </c>
      <c r="B10" s="3" t="s">
        <v>20</v>
      </c>
      <c r="C10" s="4">
        <v>24186</v>
      </c>
      <c r="D10" s="3">
        <f t="shared" si="0"/>
        <v>4070</v>
      </c>
      <c r="E10" s="3">
        <v>28256</v>
      </c>
      <c r="F10" s="3">
        <f t="shared" si="1"/>
        <v>0</v>
      </c>
      <c r="G10" s="3">
        <v>28256</v>
      </c>
    </row>
    <row r="11" spans="1:7" x14ac:dyDescent="0.35">
      <c r="A11" s="5" t="s">
        <v>19</v>
      </c>
      <c r="B11" s="5" t="s">
        <v>22</v>
      </c>
      <c r="C11" s="6">
        <v>577</v>
      </c>
      <c r="D11" s="5">
        <f t="shared" si="0"/>
        <v>270</v>
      </c>
      <c r="E11" s="5">
        <v>847</v>
      </c>
      <c r="F11" s="5">
        <f t="shared" si="1"/>
        <v>423</v>
      </c>
      <c r="G11" s="5">
        <v>1270</v>
      </c>
    </row>
    <row r="12" spans="1:7" x14ac:dyDescent="0.35">
      <c r="A12" s="3" t="s">
        <v>21</v>
      </c>
      <c r="B12" s="3" t="s">
        <v>24</v>
      </c>
      <c r="C12" s="4">
        <v>24149</v>
      </c>
      <c r="D12" s="3">
        <f t="shared" si="0"/>
        <v>0</v>
      </c>
      <c r="E12" s="3">
        <v>24149</v>
      </c>
      <c r="F12" s="3">
        <f t="shared" si="1"/>
        <v>0</v>
      </c>
      <c r="G12" s="3">
        <v>24149</v>
      </c>
    </row>
    <row r="13" spans="1:7" x14ac:dyDescent="0.35">
      <c r="A13" s="5" t="s">
        <v>23</v>
      </c>
      <c r="B13" s="5" t="s">
        <v>26</v>
      </c>
      <c r="C13" s="6">
        <v>10819</v>
      </c>
      <c r="D13" s="5">
        <f t="shared" si="0"/>
        <v>555</v>
      </c>
      <c r="E13" s="5">
        <v>11374</v>
      </c>
      <c r="F13" s="5">
        <f t="shared" si="1"/>
        <v>0</v>
      </c>
      <c r="G13" s="5">
        <v>11374</v>
      </c>
    </row>
    <row r="14" spans="1:7" x14ac:dyDescent="0.35">
      <c r="A14" s="3" t="s">
        <v>25</v>
      </c>
      <c r="B14" s="3" t="s">
        <v>28</v>
      </c>
      <c r="C14" s="4">
        <v>1445</v>
      </c>
      <c r="D14" s="3">
        <f t="shared" si="0"/>
        <v>122</v>
      </c>
      <c r="E14" s="3">
        <v>1567</v>
      </c>
      <c r="F14" s="3">
        <f t="shared" si="1"/>
        <v>133</v>
      </c>
      <c r="G14" s="3">
        <v>1700</v>
      </c>
    </row>
    <row r="15" spans="1:7" x14ac:dyDescent="0.35">
      <c r="A15" s="5" t="s">
        <v>27</v>
      </c>
      <c r="B15" s="5" t="s">
        <v>30</v>
      </c>
      <c r="C15" s="6">
        <v>2384</v>
      </c>
      <c r="D15" s="5">
        <f t="shared" si="0"/>
        <v>945</v>
      </c>
      <c r="E15" s="5">
        <v>3329</v>
      </c>
      <c r="F15" s="5">
        <f t="shared" si="1"/>
        <v>122</v>
      </c>
      <c r="G15" s="5">
        <v>3451</v>
      </c>
    </row>
    <row r="16" spans="1:7" x14ac:dyDescent="0.35">
      <c r="A16" s="3" t="s">
        <v>29</v>
      </c>
      <c r="B16" s="3" t="s">
        <v>32</v>
      </c>
      <c r="C16" s="4">
        <v>7551</v>
      </c>
      <c r="D16" s="3">
        <f t="shared" si="0"/>
        <v>1181</v>
      </c>
      <c r="E16" s="3">
        <v>8732</v>
      </c>
      <c r="F16" s="3">
        <f t="shared" si="1"/>
        <v>911</v>
      </c>
      <c r="G16" s="3">
        <v>9643</v>
      </c>
    </row>
    <row r="17" spans="1:7" x14ac:dyDescent="0.35">
      <c r="A17" s="5" t="s">
        <v>31</v>
      </c>
      <c r="B17" s="5" t="s">
        <v>34</v>
      </c>
      <c r="C17" s="6">
        <v>34387</v>
      </c>
      <c r="D17" s="5">
        <f t="shared" si="0"/>
        <v>2169</v>
      </c>
      <c r="E17" s="5">
        <v>36556</v>
      </c>
      <c r="F17" s="5">
        <f t="shared" si="1"/>
        <v>0</v>
      </c>
      <c r="G17" s="5">
        <v>36556</v>
      </c>
    </row>
    <row r="18" spans="1:7" x14ac:dyDescent="0.35">
      <c r="A18" s="3" t="s">
        <v>33</v>
      </c>
      <c r="B18" s="3" t="s">
        <v>36</v>
      </c>
      <c r="C18" s="4">
        <v>2801</v>
      </c>
      <c r="D18" s="3">
        <f t="shared" si="0"/>
        <v>2</v>
      </c>
      <c r="E18" s="3">
        <v>2803</v>
      </c>
      <c r="F18" s="3">
        <f t="shared" si="1"/>
        <v>69</v>
      </c>
      <c r="G18" s="3">
        <v>2872</v>
      </c>
    </row>
    <row r="19" spans="1:7" x14ac:dyDescent="0.35">
      <c r="A19" s="5" t="s">
        <v>35</v>
      </c>
      <c r="B19" s="5" t="s">
        <v>78</v>
      </c>
      <c r="C19" s="6">
        <v>0</v>
      </c>
      <c r="D19" s="5">
        <f t="shared" si="0"/>
        <v>194</v>
      </c>
      <c r="E19" s="5">
        <v>194</v>
      </c>
      <c r="F19" s="5">
        <f t="shared" si="1"/>
        <v>0</v>
      </c>
      <c r="G19" s="5">
        <v>194</v>
      </c>
    </row>
    <row r="20" spans="1:7" x14ac:dyDescent="0.35">
      <c r="A20" s="3" t="s">
        <v>37</v>
      </c>
      <c r="B20" s="3" t="s">
        <v>38</v>
      </c>
      <c r="C20" s="4">
        <v>18251</v>
      </c>
      <c r="D20" s="3">
        <f t="shared" si="0"/>
        <v>1481</v>
      </c>
      <c r="E20" s="3">
        <v>19732</v>
      </c>
      <c r="F20" s="3">
        <f t="shared" si="1"/>
        <v>10135</v>
      </c>
      <c r="G20" s="3">
        <v>29867</v>
      </c>
    </row>
    <row r="21" spans="1:7" x14ac:dyDescent="0.35">
      <c r="A21" s="5" t="s">
        <v>39</v>
      </c>
      <c r="B21" s="5" t="s">
        <v>40</v>
      </c>
      <c r="C21" s="6">
        <v>166465</v>
      </c>
      <c r="D21" s="5">
        <f t="shared" si="0"/>
        <v>0</v>
      </c>
      <c r="E21" s="5">
        <v>166465</v>
      </c>
      <c r="F21" s="5">
        <f t="shared" si="1"/>
        <v>0</v>
      </c>
      <c r="G21" s="5">
        <v>166465</v>
      </c>
    </row>
    <row r="22" spans="1:7" x14ac:dyDescent="0.35">
      <c r="A22" s="3" t="s">
        <v>41</v>
      </c>
      <c r="B22" s="3" t="s">
        <v>42</v>
      </c>
      <c r="C22" s="4">
        <v>443</v>
      </c>
      <c r="D22" s="3">
        <f t="shared" si="0"/>
        <v>69</v>
      </c>
      <c r="E22" s="3">
        <v>512</v>
      </c>
      <c r="F22" s="3">
        <f t="shared" si="1"/>
        <v>69</v>
      </c>
      <c r="G22" s="3">
        <v>581</v>
      </c>
    </row>
    <row r="23" spans="1:7" x14ac:dyDescent="0.35">
      <c r="A23" s="5" t="s">
        <v>43</v>
      </c>
      <c r="B23" s="5" t="s">
        <v>44</v>
      </c>
      <c r="C23" s="6">
        <v>152</v>
      </c>
      <c r="D23" s="5">
        <f t="shared" si="0"/>
        <v>0</v>
      </c>
      <c r="E23" s="5">
        <v>152</v>
      </c>
      <c r="F23" s="5">
        <f t="shared" si="1"/>
        <v>0</v>
      </c>
      <c r="G23" s="5">
        <v>152</v>
      </c>
    </row>
    <row r="24" spans="1:7" x14ac:dyDescent="0.35">
      <c r="A24" s="3" t="s">
        <v>45</v>
      </c>
      <c r="B24" s="3" t="s">
        <v>46</v>
      </c>
      <c r="C24" s="4">
        <v>188</v>
      </c>
      <c r="D24" s="3">
        <f t="shared" si="0"/>
        <v>393</v>
      </c>
      <c r="E24" s="3">
        <v>581</v>
      </c>
      <c r="F24" s="3">
        <f t="shared" si="1"/>
        <v>743</v>
      </c>
      <c r="G24" s="3">
        <v>1324</v>
      </c>
    </row>
    <row r="25" spans="1:7" x14ac:dyDescent="0.35">
      <c r="A25" s="5" t="s">
        <v>47</v>
      </c>
      <c r="B25" s="5" t="s">
        <v>48</v>
      </c>
      <c r="C25" s="6">
        <v>235</v>
      </c>
      <c r="D25" s="5">
        <f t="shared" si="0"/>
        <v>0</v>
      </c>
      <c r="E25" s="5">
        <v>235</v>
      </c>
      <c r="F25" s="5">
        <f t="shared" si="1"/>
        <v>3</v>
      </c>
      <c r="G25" s="5">
        <v>238</v>
      </c>
    </row>
    <row r="26" spans="1:7" x14ac:dyDescent="0.35">
      <c r="A26" s="3" t="s">
        <v>49</v>
      </c>
      <c r="B26" s="3" t="s">
        <v>50</v>
      </c>
      <c r="C26" s="4">
        <v>9072</v>
      </c>
      <c r="D26" s="3">
        <f t="shared" si="0"/>
        <v>2927</v>
      </c>
      <c r="E26" s="3">
        <v>11999</v>
      </c>
      <c r="F26" s="3">
        <f t="shared" si="1"/>
        <v>212</v>
      </c>
      <c r="G26" s="3">
        <v>12211</v>
      </c>
    </row>
    <row r="27" spans="1:7" x14ac:dyDescent="0.35">
      <c r="A27" s="5" t="s">
        <v>51</v>
      </c>
      <c r="B27" s="5" t="s">
        <v>52</v>
      </c>
      <c r="C27" s="6">
        <v>466</v>
      </c>
      <c r="D27" s="5">
        <f t="shared" si="0"/>
        <v>370</v>
      </c>
      <c r="E27" s="5">
        <v>836</v>
      </c>
      <c r="F27" s="5">
        <f t="shared" si="1"/>
        <v>0</v>
      </c>
      <c r="G27" s="5">
        <v>836</v>
      </c>
    </row>
    <row r="28" spans="1:7" x14ac:dyDescent="0.35">
      <c r="A28" s="3" t="s">
        <v>53</v>
      </c>
      <c r="B28" s="3" t="s">
        <v>54</v>
      </c>
      <c r="C28" s="4">
        <v>10775</v>
      </c>
      <c r="D28" s="3">
        <f t="shared" si="0"/>
        <v>613</v>
      </c>
      <c r="E28" s="3">
        <v>11388</v>
      </c>
      <c r="F28" s="3">
        <f t="shared" si="1"/>
        <v>134</v>
      </c>
      <c r="G28" s="3">
        <v>11522</v>
      </c>
    </row>
    <row r="29" spans="1:7" x14ac:dyDescent="0.35">
      <c r="A29" s="5" t="s">
        <v>55</v>
      </c>
      <c r="B29" s="5" t="s">
        <v>56</v>
      </c>
      <c r="C29" s="6">
        <v>23147</v>
      </c>
      <c r="D29" s="5">
        <f t="shared" si="0"/>
        <v>8153</v>
      </c>
      <c r="E29" s="5">
        <v>31300</v>
      </c>
      <c r="F29" s="5">
        <f t="shared" si="1"/>
        <v>0</v>
      </c>
      <c r="G29" s="5">
        <v>31300</v>
      </c>
    </row>
    <row r="30" spans="1:7" x14ac:dyDescent="0.35">
      <c r="A30" s="3" t="s">
        <v>57</v>
      </c>
      <c r="B30" s="3" t="s">
        <v>58</v>
      </c>
      <c r="C30" s="4">
        <v>163</v>
      </c>
      <c r="D30" s="3">
        <f t="shared" si="0"/>
        <v>0</v>
      </c>
      <c r="E30" s="3">
        <v>163</v>
      </c>
      <c r="F30" s="3">
        <f t="shared" si="1"/>
        <v>105</v>
      </c>
      <c r="G30" s="3">
        <v>268</v>
      </c>
    </row>
    <row r="31" spans="1:7" x14ac:dyDescent="0.35">
      <c r="A31" s="5" t="s">
        <v>59</v>
      </c>
      <c r="B31" s="5" t="s">
        <v>60</v>
      </c>
      <c r="C31" s="6">
        <v>89648</v>
      </c>
      <c r="D31" s="5">
        <f t="shared" si="0"/>
        <v>3096</v>
      </c>
      <c r="E31" s="5">
        <v>92744</v>
      </c>
      <c r="F31" s="5">
        <f t="shared" si="1"/>
        <v>0</v>
      </c>
      <c r="G31" s="5">
        <v>92744</v>
      </c>
    </row>
    <row r="32" spans="1:7" x14ac:dyDescent="0.35">
      <c r="A32" s="3" t="s">
        <v>61</v>
      </c>
      <c r="B32" s="3" t="s">
        <v>62</v>
      </c>
      <c r="C32" s="4">
        <v>6000</v>
      </c>
      <c r="D32" s="3">
        <f t="shared" si="0"/>
        <v>4209</v>
      </c>
      <c r="E32" s="3">
        <v>10209</v>
      </c>
      <c r="F32" s="3">
        <f t="shared" si="1"/>
        <v>5256</v>
      </c>
      <c r="G32" s="3">
        <v>15465</v>
      </c>
    </row>
    <row r="33" spans="1:7" x14ac:dyDescent="0.35">
      <c r="A33" s="5" t="s">
        <v>63</v>
      </c>
      <c r="B33" s="5" t="s">
        <v>64</v>
      </c>
      <c r="C33" s="6">
        <v>883</v>
      </c>
      <c r="D33" s="5">
        <f t="shared" si="0"/>
        <v>190</v>
      </c>
      <c r="E33" s="5">
        <v>1073</v>
      </c>
      <c r="F33" s="5">
        <f t="shared" si="1"/>
        <v>16</v>
      </c>
      <c r="G33" s="5">
        <v>1089</v>
      </c>
    </row>
    <row r="34" spans="1:7" x14ac:dyDescent="0.35">
      <c r="A34" s="3" t="s">
        <v>65</v>
      </c>
      <c r="B34" s="3" t="s">
        <v>66</v>
      </c>
      <c r="C34" s="4">
        <v>62490</v>
      </c>
      <c r="D34" s="3">
        <f t="shared" si="0"/>
        <v>6802</v>
      </c>
      <c r="E34" s="3">
        <v>69292</v>
      </c>
      <c r="F34" s="3">
        <f t="shared" si="1"/>
        <v>1078</v>
      </c>
      <c r="G34" s="3">
        <v>70370</v>
      </c>
    </row>
    <row r="35" spans="1:7" x14ac:dyDescent="0.35">
      <c r="A35" s="5" t="s">
        <v>67</v>
      </c>
      <c r="B35" s="5" t="s">
        <v>68</v>
      </c>
      <c r="C35" s="6">
        <v>4547</v>
      </c>
      <c r="D35" s="5">
        <f t="shared" si="0"/>
        <v>95</v>
      </c>
      <c r="E35" s="5">
        <v>4642</v>
      </c>
      <c r="F35" s="5">
        <f t="shared" si="1"/>
        <v>52</v>
      </c>
      <c r="G35" s="5">
        <v>4694</v>
      </c>
    </row>
    <row r="36" spans="1:7" x14ac:dyDescent="0.35">
      <c r="A36" s="16" t="s">
        <v>69</v>
      </c>
      <c r="B36" s="16" t="s">
        <v>70</v>
      </c>
      <c r="C36" s="17">
        <v>299</v>
      </c>
      <c r="D36" s="16">
        <f t="shared" si="0"/>
        <v>5447</v>
      </c>
      <c r="E36" s="16">
        <v>5746</v>
      </c>
      <c r="F36" s="16">
        <f t="shared" si="1"/>
        <v>0</v>
      </c>
      <c r="G36" s="16">
        <v>5746</v>
      </c>
    </row>
    <row r="37" spans="1:7" x14ac:dyDescent="0.35">
      <c r="A37" s="11"/>
      <c r="B37" s="5"/>
      <c r="C37" s="6"/>
      <c r="D37" s="5"/>
      <c r="E37" s="5"/>
      <c r="F37" s="5"/>
      <c r="G37" s="5"/>
    </row>
  </sheetData>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E91E-D3FF-4AD2-8F66-0F06C8398817}">
  <dimension ref="D29"/>
  <sheetViews>
    <sheetView showGridLines="0" tabSelected="1" topLeftCell="A2" zoomScale="37" zoomScaleNormal="38" workbookViewId="0">
      <selection activeCell="AP31" sqref="AP31"/>
    </sheetView>
  </sheetViews>
  <sheetFormatPr defaultRowHeight="14.5" x14ac:dyDescent="0.35"/>
  <cols>
    <col min="1" max="3" width="8.7265625" style="7"/>
    <col min="4" max="4" width="42.7265625" style="7" bestFit="1" customWidth="1"/>
    <col min="5" max="16384" width="8.7265625" style="7"/>
  </cols>
  <sheetData>
    <row r="29" spans="4:4" x14ac:dyDescent="0.35">
      <c r="D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1FD2-1D8C-45C3-AEB8-091C88059A52}">
  <dimension ref="A1:A16"/>
  <sheetViews>
    <sheetView workbookViewId="0">
      <selection activeCell="A16" sqref="A16"/>
    </sheetView>
  </sheetViews>
  <sheetFormatPr defaultRowHeight="14.5" x14ac:dyDescent="0.35"/>
  <cols>
    <col min="1" max="1" width="41.26953125" bestFit="1" customWidth="1"/>
  </cols>
  <sheetData>
    <row r="1" spans="1:1" x14ac:dyDescent="0.35">
      <c r="A1" s="15" t="s">
        <v>98</v>
      </c>
    </row>
    <row r="2" spans="1:1" x14ac:dyDescent="0.35">
      <c r="A2" t="s">
        <v>100</v>
      </c>
    </row>
    <row r="3" spans="1:1" x14ac:dyDescent="0.35">
      <c r="A3" t="s">
        <v>99</v>
      </c>
    </row>
    <row r="4" spans="1:1" x14ac:dyDescent="0.35">
      <c r="A4" t="s">
        <v>94</v>
      </c>
    </row>
    <row r="5" spans="1:1" x14ac:dyDescent="0.35">
      <c r="A5" t="s">
        <v>95</v>
      </c>
    </row>
    <row r="6" spans="1:1" x14ac:dyDescent="0.35">
      <c r="A6" t="s">
        <v>96</v>
      </c>
    </row>
    <row r="16" spans="1:1" x14ac:dyDescent="0.35">
      <c r="A16" t="s">
        <v>101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2F864B-CA73-4032-81A9-8C4A723F29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Data2019</vt:lpstr>
      <vt:lpstr>Data2020</vt:lpstr>
      <vt:lpstr>Data2021</vt:lpstr>
      <vt:lpstr>Data2023</vt:lpstr>
      <vt:lpstr>2021-Present</vt:lpstr>
      <vt:lpstr>2020-2021</vt:lpstr>
      <vt:lpstr>2019</vt:lpstr>
      <vt:lpstr>3_year_sum</vt:lpstr>
      <vt:lpstr>Main_Pivot</vt:lpstr>
      <vt:lpstr>Region</vt:lpstr>
      <vt:lpstr>State_Year</vt:lpstr>
      <vt:lpstr>Combined_Table</vt:lpstr>
      <vt:lpstr>DashBoard</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anuvanshika rana</dc:creator>
  <cp:lastModifiedBy>anuvanshika rana</cp:lastModifiedBy>
  <dcterms:created xsi:type="dcterms:W3CDTF">2026-06-09T13:45:56Z</dcterms:created>
  <dcterms:modified xsi:type="dcterms:W3CDTF">2026-06-11T12:07:04Z</dcterms:modified>
</cp:coreProperties>
</file>